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trlProps/ctrlProp2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89899E17-C6F7-46EF-BFD9-512ED847836D}" xr6:coauthVersionLast="47" xr6:coauthVersionMax="47" xr10:uidLastSave="{00000000-0000-0000-0000-000000000000}"/>
  <bookViews>
    <workbookView xWindow="-120" yWindow="-120" windowWidth="24240" windowHeight="13020" activeTab="1" xr2:uid="{0291D918-6C7F-4FC6-8930-149291A1A454}"/>
  </bookViews>
  <sheets>
    <sheet name="AGOSTO 9 2026" sheetId="1" r:id="rId1"/>
    <sheet name="AGOSTO 10 2026 " sheetId="2" r:id="rId2"/>
  </sheets>
  <definedNames>
    <definedName name="d">#REF!</definedName>
    <definedName name="DBZ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0" i="2" l="1"/>
  <c r="H22" i="2" s="1"/>
  <c r="H20" i="1"/>
  <c r="H22" i="1" s="1"/>
</calcChain>
</file>

<file path=xl/sharedStrings.xml><?xml version="1.0" encoding="utf-8"?>
<sst xmlns="http://schemas.openxmlformats.org/spreadsheetml/2006/main" count="74" uniqueCount="12">
  <si>
    <t xml:space="preserve"> </t>
  </si>
  <si>
    <t xml:space="preserve">CAJA MENOR </t>
  </si>
  <si>
    <t>FECHA</t>
  </si>
  <si>
    <t>CEDULA(NIT)</t>
  </si>
  <si>
    <t>NOMBRE</t>
  </si>
  <si>
    <t>FUNCIONARIO</t>
  </si>
  <si>
    <t>DESCRIPCIÓN O DETALLE</t>
  </si>
  <si>
    <t>NIT</t>
  </si>
  <si>
    <t>PROVEEDOR</t>
  </si>
  <si>
    <t>MAGDA TAFUR</t>
  </si>
  <si>
    <t>COMPRAS</t>
  </si>
  <si>
    <t>EJEMPLO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</si>
</sst>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&quot;$&quot;\ * #,##0.00_-;\-&quot;$&quot;\ * #,##0.00_-;_-&quot;$&quot;\ * &quot;-&quot;??_-;_-@_-"/>
    <numFmt numFmtId="165" formatCode="_-&quot;$&quot;* #,##0.00_-;\-&quot;$&quot;* #,##0.00_-;_-&quot;$&quot;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9"/>
      <color rgb="FF000000"/>
      <name val="Tahoma"/>
      <family val="2"/>
    </font>
    <font>
      <sz val="8"/>
      <color theme="1"/>
      <name val="Tahoma"/>
      <family val="2"/>
    </font>
    <font>
      <sz val="12"/>
      <color theme="1"/>
      <name val="Tahoma"/>
      <family val="2"/>
    </font>
    <font>
      <b/>
      <sz val="28"/>
      <color theme="1"/>
      <name val="Tahoma"/>
      <family val="2"/>
    </font>
    <font>
      <b/>
      <sz val="12"/>
      <color theme="1"/>
      <name val="Tahoma"/>
      <family val="2"/>
    </font>
    <font>
      <b/>
      <i/>
      <sz val="12"/>
      <color theme="1"/>
      <name val="Tahoma"/>
      <family val="2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165" fontId="1" fillId="0" borderId="0" applyFont="0" applyFill="0" applyBorder="0" applyAlignment="0" applyProtection="0"/>
  </cellStyleXfs>
  <cellXfs count="49">
    <xf numFmtId="0" fontId="0" fillId="0" borderId="0" xfId="0"/>
    <xf numFmtId="0" fontId="0" fillId="0" borderId="10" xfId="0" applyBorder="1"/>
    <xf numFmtId="14" fontId="6" fillId="0" borderId="10" xfId="1" applyNumberFormat="1" applyFont="1" applyBorder="1" applyAlignment="1">
      <alignment horizontal="center" vertical="center"/>
    </xf>
    <xf numFmtId="0" fontId="6" fillId="0" borderId="10" xfId="1" applyFont="1" applyBorder="1" applyAlignment="1">
      <alignment horizontal="center" vertical="center"/>
    </xf>
    <xf numFmtId="3" fontId="6" fillId="0" borderId="10" xfId="1" applyNumberFormat="1" applyFont="1" applyBorder="1" applyAlignment="1">
      <alignment horizontal="center" vertical="center"/>
    </xf>
    <xf numFmtId="4" fontId="6" fillId="0" borderId="10" xfId="1" applyNumberFormat="1" applyFont="1" applyBorder="1" applyAlignment="1">
      <alignment horizontal="center" vertical="center"/>
    </xf>
    <xf numFmtId="4" fontId="8" fillId="2" borderId="10" xfId="1" applyNumberFormat="1" applyFont="1" applyFill="1" applyBorder="1" applyAlignment="1">
      <alignment horizontal="center" vertical="center" wrapText="1"/>
    </xf>
    <xf numFmtId="14" fontId="6" fillId="2" borderId="10" xfId="1" applyNumberFormat="1" applyFont="1" applyFill="1" applyBorder="1" applyAlignment="1">
      <alignment horizontal="center" vertical="center"/>
    </xf>
    <xf numFmtId="164" fontId="6" fillId="0" borderId="10" xfId="1" applyNumberFormat="1" applyFont="1" applyBorder="1" applyAlignment="1">
      <alignment horizontal="center"/>
    </xf>
    <xf numFmtId="14" fontId="4" fillId="2" borderId="10" xfId="1" applyNumberFormat="1" applyFont="1" applyFill="1" applyBorder="1" applyAlignment="1">
      <alignment horizontal="center" vertical="center"/>
    </xf>
    <xf numFmtId="0" fontId="4" fillId="5" borderId="10" xfId="0" applyFont="1" applyFill="1" applyBorder="1" applyAlignment="1">
      <alignment horizontal="center" vertical="center" wrapText="1"/>
    </xf>
    <xf numFmtId="3" fontId="9" fillId="6" borderId="10" xfId="1" applyNumberFormat="1" applyFont="1" applyFill="1" applyBorder="1" applyAlignment="1">
      <alignment horizontal="center" vertical="center"/>
    </xf>
    <xf numFmtId="4" fontId="9" fillId="0" borderId="10" xfId="1" applyNumberFormat="1" applyFont="1" applyBorder="1" applyAlignment="1">
      <alignment horizontal="center" vertical="center"/>
    </xf>
    <xf numFmtId="165" fontId="9" fillId="2" borderId="10" xfId="2" applyFont="1" applyFill="1" applyBorder="1" applyAlignment="1">
      <alignment horizontal="center" vertical="center"/>
    </xf>
    <xf numFmtId="49" fontId="9" fillId="5" borderId="10" xfId="1" applyNumberFormat="1" applyFont="1" applyFill="1" applyBorder="1" applyAlignment="1">
      <alignment horizontal="center" vertical="center"/>
    </xf>
    <xf numFmtId="3" fontId="9" fillId="6" borderId="10" xfId="1" applyNumberFormat="1" applyFont="1" applyFill="1" applyBorder="1" applyAlignment="1">
      <alignment horizontal="center" vertical="center" wrapText="1"/>
    </xf>
    <xf numFmtId="3" fontId="4" fillId="5" borderId="10" xfId="0" applyNumberFormat="1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/>
    </xf>
    <xf numFmtId="165" fontId="9" fillId="0" borderId="10" xfId="2" applyFont="1" applyBorder="1" applyAlignment="1">
      <alignment vertical="center"/>
    </xf>
    <xf numFmtId="0" fontId="7" fillId="4" borderId="9" xfId="1" applyFont="1" applyFill="1" applyBorder="1" applyAlignment="1">
      <alignment horizontal="center" vertical="center"/>
    </xf>
    <xf numFmtId="0" fontId="7" fillId="4" borderId="11" xfId="1" applyFont="1" applyFill="1" applyBorder="1" applyAlignment="1">
      <alignment horizontal="center" vertical="center"/>
    </xf>
    <xf numFmtId="0" fontId="4" fillId="2" borderId="1" xfId="1" applyFont="1" applyFill="1" applyBorder="1" applyAlignment="1">
      <alignment horizontal="center" vertical="center"/>
    </xf>
    <xf numFmtId="0" fontId="4" fillId="2" borderId="2" xfId="1" applyFont="1" applyFill="1" applyBorder="1" applyAlignment="1">
      <alignment horizontal="center" vertical="center"/>
    </xf>
    <xf numFmtId="0" fontId="4" fillId="2" borderId="3" xfId="1" applyFont="1" applyFill="1" applyBorder="1" applyAlignment="1">
      <alignment horizontal="center" vertical="center"/>
    </xf>
    <xf numFmtId="0" fontId="4" fillId="2" borderId="4" xfId="1" applyFont="1" applyFill="1" applyBorder="1" applyAlignment="1">
      <alignment horizontal="center" vertical="center"/>
    </xf>
    <xf numFmtId="0" fontId="4" fillId="2" borderId="0" xfId="1" applyFont="1" applyFill="1" applyAlignment="1">
      <alignment horizontal="center" vertical="center"/>
    </xf>
    <xf numFmtId="0" fontId="4" fillId="2" borderId="5" xfId="1" applyFont="1" applyFill="1" applyBorder="1" applyAlignment="1">
      <alignment horizontal="center" vertical="center"/>
    </xf>
    <xf numFmtId="0" fontId="4" fillId="2" borderId="6" xfId="1" applyFont="1" applyFill="1" applyBorder="1" applyAlignment="1">
      <alignment horizontal="center" vertical="center"/>
    </xf>
    <xf numFmtId="0" fontId="4" fillId="2" borderId="7" xfId="1" applyFont="1" applyFill="1" applyBorder="1" applyAlignment="1">
      <alignment horizontal="center" vertical="center"/>
    </xf>
    <xf numFmtId="0" fontId="4" fillId="2" borderId="8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 wrapText="1"/>
    </xf>
    <xf numFmtId="0" fontId="6" fillId="2" borderId="2" xfId="1" applyFont="1" applyFill="1" applyBorder="1" applyAlignment="1">
      <alignment horizontal="center" vertical="center" wrapText="1"/>
    </xf>
    <xf numFmtId="0" fontId="6" fillId="2" borderId="3" xfId="1" applyFont="1" applyFill="1" applyBorder="1" applyAlignment="1">
      <alignment horizontal="center" vertical="center" wrapText="1"/>
    </xf>
    <xf numFmtId="0" fontId="6" fillId="2" borderId="4" xfId="1" applyFont="1" applyFill="1" applyBorder="1" applyAlignment="1">
      <alignment horizontal="center" vertical="center" wrapText="1"/>
    </xf>
    <xf numFmtId="0" fontId="6" fillId="2" borderId="0" xfId="1" applyFont="1" applyFill="1" applyAlignment="1">
      <alignment horizontal="center" vertical="center" wrapText="1"/>
    </xf>
    <xf numFmtId="0" fontId="6" fillId="2" borderId="5" xfId="1" applyFont="1" applyFill="1" applyBorder="1" applyAlignment="1">
      <alignment horizontal="center" vertical="center" wrapText="1"/>
    </xf>
    <xf numFmtId="0" fontId="6" fillId="2" borderId="6" xfId="1" applyFont="1" applyFill="1" applyBorder="1" applyAlignment="1">
      <alignment horizontal="center" vertical="center" wrapText="1"/>
    </xf>
    <xf numFmtId="0" fontId="6" fillId="2" borderId="7" xfId="1" applyFont="1" applyFill="1" applyBorder="1" applyAlignment="1">
      <alignment horizontal="center" vertical="center" wrapText="1"/>
    </xf>
    <xf numFmtId="0" fontId="6" fillId="2" borderId="8" xfId="1" applyFont="1" applyFill="1" applyBorder="1" applyAlignment="1">
      <alignment horizontal="center" vertical="center" wrapText="1"/>
    </xf>
    <xf numFmtId="49" fontId="6" fillId="3" borderId="1" xfId="1" applyNumberFormat="1" applyFont="1" applyFill="1" applyBorder="1" applyAlignment="1">
      <alignment horizontal="center" vertical="center"/>
    </xf>
    <xf numFmtId="49" fontId="6" fillId="3" borderId="2" xfId="1" applyNumberFormat="1" applyFont="1" applyFill="1" applyBorder="1" applyAlignment="1">
      <alignment horizontal="center" vertical="center"/>
    </xf>
    <xf numFmtId="49" fontId="6" fillId="3" borderId="3" xfId="1" applyNumberFormat="1" applyFont="1" applyFill="1" applyBorder="1" applyAlignment="1">
      <alignment horizontal="center" vertical="center"/>
    </xf>
    <xf numFmtId="49" fontId="6" fillId="3" borderId="6" xfId="1" applyNumberFormat="1" applyFont="1" applyFill="1" applyBorder="1" applyAlignment="1">
      <alignment horizontal="center" vertical="center"/>
    </xf>
    <xf numFmtId="49" fontId="6" fillId="3" borderId="7" xfId="1" applyNumberFormat="1" applyFont="1" applyFill="1" applyBorder="1" applyAlignment="1">
      <alignment horizontal="center" vertical="center"/>
    </xf>
    <xf numFmtId="49" fontId="6" fillId="3" borderId="8" xfId="1" applyNumberFormat="1" applyFont="1" applyFill="1" applyBorder="1" applyAlignment="1">
      <alignment horizontal="center" vertical="center"/>
    </xf>
    <xf numFmtId="14" fontId="7" fillId="4" borderId="9" xfId="1" applyNumberFormat="1" applyFont="1" applyFill="1" applyBorder="1" applyAlignment="1">
      <alignment horizontal="center" vertical="center"/>
    </xf>
    <xf numFmtId="14" fontId="7" fillId="4" borderId="11" xfId="1" applyNumberFormat="1" applyFont="1" applyFill="1" applyBorder="1" applyAlignment="1">
      <alignment horizontal="center" vertical="center"/>
    </xf>
    <xf numFmtId="0" fontId="7" fillId="4" borderId="9" xfId="1" applyFont="1" applyFill="1" applyBorder="1" applyAlignment="1">
      <alignment horizontal="center" vertical="center" wrapText="1"/>
    </xf>
    <xf numFmtId="0" fontId="7" fillId="4" borderId="11" xfId="1" applyFont="1" applyFill="1" applyBorder="1" applyAlignment="1">
      <alignment horizontal="center" vertical="center" wrapText="1"/>
    </xf>
  </cellXfs>
  <cellStyles count="3">
    <cellStyle name="Moneda 2" xfId="2" xr:uid="{7128B72A-310E-4DBC-B9F0-0C5E74E8067C}"/>
    <cellStyle name="Normal" xfId="0" builtinId="0"/>
    <cellStyle name="Normal 2" xfId="1" xr:uid="{1823A1E8-BA41-473E-AC25-81DB49B15CA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123825</xdr:colOff>
          <xdr:row>1</xdr:row>
          <xdr:rowOff>28575</xdr:rowOff>
        </xdr:from>
        <xdr:to>
          <xdr:col>2</xdr:col>
          <xdr:colOff>1619250</xdr:colOff>
          <xdr:row>3</xdr:row>
          <xdr:rowOff>76200</xdr:rowOff>
        </xdr:to>
        <xdr:sp macro="" textlink="">
          <xdr:nvSpPr>
            <xdr:cNvPr id="1025" name="Butto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18288" rIns="27432" bIns="18288" anchor="ctr" upright="1"/>
            <a:lstStyle/>
            <a:p>
              <a:pPr algn="ctr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AGREGAR TERCERO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123825</xdr:colOff>
          <xdr:row>1</xdr:row>
          <xdr:rowOff>28575</xdr:rowOff>
        </xdr:from>
        <xdr:to>
          <xdr:col>2</xdr:col>
          <xdr:colOff>1619250</xdr:colOff>
          <xdr:row>3</xdr:row>
          <xdr:rowOff>76200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46DAAD95-28FB-4E36-8DA3-2D4E3DBC7ECA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18288" rIns="27432" bIns="18288" anchor="ctr" upright="1"/>
            <a:lstStyle/>
            <a:p>
              <a:pPr algn="ctr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AGREGAR TERCERO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3B00F-7298-48C5-B0EB-48BF825E93A3}">
  <sheetPr>
    <pageSetUpPr fitToPage="1"/>
  </sheetPr>
  <dimension ref="A1:I23"/>
  <sheetViews>
    <sheetView zoomScale="85" zoomScaleNormal="85" workbookViewId="0">
      <selection activeCell="G26" sqref="G26"/>
    </sheetView>
  </sheetViews>
  <sheetFormatPr baseColWidth="10" defaultColWidth="9.140625" defaultRowHeight="15" x14ac:dyDescent="0.25"/>
  <cols>
    <col min="1" max="1" width="12.28515625" bestFit="1" customWidth="1"/>
    <col min="2" max="2" width="18.42578125" bestFit="1" customWidth="1"/>
    <col min="3" max="3" width="27" bestFit="1" customWidth="1"/>
    <col min="4" max="4" width="28.7109375" bestFit="1" customWidth="1"/>
    <col min="5" max="5" width="62.7109375" bestFit="1" customWidth="1"/>
    <col min="6" max="6" width="17" bestFit="1" customWidth="1"/>
    <col min="7" max="7" width="57.85546875" bestFit="1" customWidth="1"/>
    <col min="8" max="8" width="21.42578125" bestFit="1" customWidth="1"/>
  </cols>
  <sheetData>
    <row r="1" spans="1:9" x14ac:dyDescent="0.25">
      <c r="A1" s="21" t="s">
        <v>0</v>
      </c>
      <c r="B1" s="22"/>
      <c r="C1" s="23"/>
      <c r="D1" s="30" t="s">
        <v>1</v>
      </c>
      <c r="E1" s="31"/>
      <c r="F1" s="31"/>
      <c r="G1" s="31"/>
      <c r="H1" s="31"/>
      <c r="I1" s="32"/>
    </row>
    <row r="2" spans="1:9" x14ac:dyDescent="0.25">
      <c r="A2" s="24"/>
      <c r="B2" s="25"/>
      <c r="C2" s="26"/>
      <c r="D2" s="33"/>
      <c r="E2" s="34"/>
      <c r="F2" s="34"/>
      <c r="G2" s="34"/>
      <c r="H2" s="34"/>
      <c r="I2" s="35"/>
    </row>
    <row r="3" spans="1:9" x14ac:dyDescent="0.25">
      <c r="A3" s="24"/>
      <c r="B3" s="25"/>
      <c r="C3" s="26"/>
      <c r="D3" s="33"/>
      <c r="E3" s="34"/>
      <c r="F3" s="34"/>
      <c r="G3" s="34"/>
      <c r="H3" s="34"/>
      <c r="I3" s="35"/>
    </row>
    <row r="4" spans="1:9" x14ac:dyDescent="0.25">
      <c r="A4" s="27"/>
      <c r="B4" s="28"/>
      <c r="C4" s="29"/>
      <c r="D4" s="36"/>
      <c r="E4" s="37"/>
      <c r="F4" s="37"/>
      <c r="G4" s="37"/>
      <c r="H4" s="37"/>
      <c r="I4" s="38"/>
    </row>
    <row r="5" spans="1:9" x14ac:dyDescent="0.25">
      <c r="A5" s="39"/>
      <c r="B5" s="40"/>
      <c r="C5" s="40"/>
      <c r="D5" s="40"/>
      <c r="E5" s="40"/>
      <c r="F5" s="40"/>
      <c r="G5" s="40"/>
      <c r="H5" s="40"/>
      <c r="I5" s="41"/>
    </row>
    <row r="6" spans="1:9" x14ac:dyDescent="0.25">
      <c r="A6" s="42"/>
      <c r="B6" s="43"/>
      <c r="C6" s="43"/>
      <c r="D6" s="43"/>
      <c r="E6" s="43"/>
      <c r="F6" s="43"/>
      <c r="G6" s="43"/>
      <c r="H6" s="43"/>
      <c r="I6" s="44"/>
    </row>
    <row r="7" spans="1:9" x14ac:dyDescent="0.25">
      <c r="A7" s="45" t="s">
        <v>2</v>
      </c>
      <c r="B7" s="47" t="s">
        <v>3</v>
      </c>
      <c r="C7" s="19" t="s">
        <v>4</v>
      </c>
      <c r="D7" s="47" t="s">
        <v>5</v>
      </c>
      <c r="E7" s="47" t="s">
        <v>6</v>
      </c>
      <c r="F7" s="47" t="s">
        <v>7</v>
      </c>
      <c r="G7" s="19" t="s">
        <v>8</v>
      </c>
      <c r="H7" s="19"/>
      <c r="I7" s="1"/>
    </row>
    <row r="8" spans="1:9" x14ac:dyDescent="0.25">
      <c r="A8" s="46"/>
      <c r="B8" s="48"/>
      <c r="C8" s="20"/>
      <c r="D8" s="48"/>
      <c r="E8" s="48"/>
      <c r="F8" s="48"/>
      <c r="G8" s="20"/>
      <c r="H8" s="20"/>
      <c r="I8" s="1"/>
    </row>
    <row r="9" spans="1:9" x14ac:dyDescent="0.25">
      <c r="A9" s="2"/>
      <c r="B9" s="3"/>
      <c r="C9" s="2"/>
      <c r="D9" s="3"/>
      <c r="E9" s="2"/>
      <c r="F9" s="3"/>
      <c r="G9" s="2"/>
      <c r="H9" s="3"/>
      <c r="I9" s="1"/>
    </row>
    <row r="10" spans="1:9" ht="15.75" x14ac:dyDescent="0.25">
      <c r="A10" s="2"/>
      <c r="B10" s="3"/>
      <c r="C10" s="4"/>
      <c r="D10" s="5"/>
      <c r="E10" s="5"/>
      <c r="F10" s="6"/>
      <c r="G10" s="7"/>
      <c r="H10" s="8">
        <v>1170879.55</v>
      </c>
      <c r="I10" s="1"/>
    </row>
    <row r="11" spans="1:9" ht="15.75" x14ac:dyDescent="0.25">
      <c r="A11" s="7"/>
      <c r="B11" s="7"/>
      <c r="C11" s="7"/>
      <c r="D11" s="7"/>
      <c r="E11" s="7"/>
      <c r="F11" s="7"/>
      <c r="G11" s="7"/>
      <c r="H11" s="8"/>
      <c r="I11" s="1"/>
    </row>
    <row r="12" spans="1:9" x14ac:dyDescent="0.25">
      <c r="A12" s="9">
        <v>46243</v>
      </c>
      <c r="B12" s="10">
        <v>65777220</v>
      </c>
      <c r="C12" s="11" t="s">
        <v>9</v>
      </c>
      <c r="D12" s="12" t="s">
        <v>10</v>
      </c>
      <c r="E12" s="12" t="s">
        <v>11</v>
      </c>
      <c r="F12" s="10">
        <v>65777220</v>
      </c>
      <c r="G12" s="11" t="s">
        <v>9</v>
      </c>
      <c r="H12" s="13">
        <v>17000</v>
      </c>
      <c r="I12" s="1"/>
    </row>
    <row r="13" spans="1:9" x14ac:dyDescent="0.25">
      <c r="A13" s="9">
        <v>46243</v>
      </c>
      <c r="B13" s="10">
        <v>65777220</v>
      </c>
      <c r="C13" s="11" t="s">
        <v>9</v>
      </c>
      <c r="D13" s="12" t="s">
        <v>10</v>
      </c>
      <c r="E13" s="12" t="s">
        <v>11</v>
      </c>
      <c r="F13" s="10">
        <v>65777220</v>
      </c>
      <c r="G13" s="11" t="s">
        <v>9</v>
      </c>
      <c r="H13" s="13">
        <v>12000</v>
      </c>
      <c r="I13" s="1"/>
    </row>
    <row r="14" spans="1:9" x14ac:dyDescent="0.25">
      <c r="A14" s="9">
        <v>46243</v>
      </c>
      <c r="B14" s="10">
        <v>65777220</v>
      </c>
      <c r="C14" s="11" t="s">
        <v>9</v>
      </c>
      <c r="D14" s="12" t="s">
        <v>10</v>
      </c>
      <c r="E14" s="12" t="s">
        <v>11</v>
      </c>
      <c r="F14" s="10">
        <v>65777220</v>
      </c>
      <c r="G14" s="11" t="s">
        <v>9</v>
      </c>
      <c r="H14" s="13">
        <v>48000</v>
      </c>
      <c r="I14" s="1"/>
    </row>
    <row r="15" spans="1:9" x14ac:dyDescent="0.25">
      <c r="A15" s="9">
        <v>46243</v>
      </c>
      <c r="B15" s="10">
        <v>65777220</v>
      </c>
      <c r="C15" s="11" t="s">
        <v>9</v>
      </c>
      <c r="D15" s="12" t="s">
        <v>10</v>
      </c>
      <c r="E15" s="12" t="s">
        <v>11</v>
      </c>
      <c r="F15" s="10">
        <v>65777220</v>
      </c>
      <c r="G15" s="11" t="s">
        <v>9</v>
      </c>
      <c r="H15" s="13">
        <v>15120</v>
      </c>
      <c r="I15" s="1"/>
    </row>
    <row r="16" spans="1:9" x14ac:dyDescent="0.25">
      <c r="A16" s="9">
        <v>46243</v>
      </c>
      <c r="B16" s="10">
        <v>65777220</v>
      </c>
      <c r="C16" s="11" t="s">
        <v>9</v>
      </c>
      <c r="D16" s="12" t="s">
        <v>10</v>
      </c>
      <c r="E16" s="12" t="s">
        <v>11</v>
      </c>
      <c r="F16" s="10">
        <v>65777220</v>
      </c>
      <c r="G16" s="11" t="s">
        <v>9</v>
      </c>
      <c r="H16" s="13">
        <v>28700</v>
      </c>
      <c r="I16" s="1"/>
    </row>
    <row r="17" spans="1:9" x14ac:dyDescent="0.25">
      <c r="A17" s="9">
        <v>46243</v>
      </c>
      <c r="B17" s="10">
        <v>65777220</v>
      </c>
      <c r="C17" s="11" t="s">
        <v>9</v>
      </c>
      <c r="D17" s="12" t="s">
        <v>10</v>
      </c>
      <c r="E17" s="12" t="s">
        <v>11</v>
      </c>
      <c r="F17" s="10">
        <v>65777220</v>
      </c>
      <c r="G17" s="11" t="s">
        <v>9</v>
      </c>
      <c r="H17" s="13">
        <v>10000</v>
      </c>
      <c r="I17" s="1"/>
    </row>
    <row r="18" spans="1:9" x14ac:dyDescent="0.25">
      <c r="A18" s="9">
        <v>46243</v>
      </c>
      <c r="B18" s="10">
        <v>65737477</v>
      </c>
      <c r="C18" s="11" t="s">
        <v>9</v>
      </c>
      <c r="D18" s="12" t="s">
        <v>10</v>
      </c>
      <c r="E18" s="12" t="s">
        <v>11</v>
      </c>
      <c r="F18" s="10">
        <v>65777220</v>
      </c>
      <c r="G18" s="11" t="s">
        <v>9</v>
      </c>
      <c r="H18" s="13">
        <v>35000</v>
      </c>
      <c r="I18" s="1"/>
    </row>
    <row r="19" spans="1:9" x14ac:dyDescent="0.25">
      <c r="A19" s="9"/>
      <c r="B19" s="10"/>
      <c r="C19" s="11"/>
      <c r="D19" s="12"/>
      <c r="E19" s="12"/>
      <c r="F19" s="10"/>
      <c r="G19" s="11"/>
      <c r="H19" s="13"/>
      <c r="I19" s="1"/>
    </row>
    <row r="20" spans="1:9" x14ac:dyDescent="0.25">
      <c r="A20" s="9"/>
      <c r="B20" s="10"/>
      <c r="C20" s="11"/>
      <c r="D20" s="12"/>
      <c r="E20" s="12"/>
      <c r="F20" s="14"/>
      <c r="G20" s="15"/>
      <c r="H20" s="13">
        <f>SUM(H12:H19)</f>
        <v>165820</v>
      </c>
      <c r="I20" s="1"/>
    </row>
    <row r="21" spans="1:9" x14ac:dyDescent="0.25">
      <c r="A21" s="9"/>
      <c r="B21" s="16"/>
      <c r="C21" s="11"/>
      <c r="D21" s="12"/>
      <c r="E21" s="12"/>
      <c r="F21" s="14"/>
      <c r="G21" s="15"/>
      <c r="H21" s="13"/>
      <c r="I21" s="1"/>
    </row>
    <row r="22" spans="1:9" x14ac:dyDescent="0.25">
      <c r="A22" s="9"/>
      <c r="B22" s="16"/>
      <c r="C22" s="11"/>
      <c r="D22" s="12"/>
      <c r="E22" s="12"/>
      <c r="F22" s="14"/>
      <c r="G22" s="15"/>
      <c r="H22" s="13">
        <f>+H10-H20</f>
        <v>1005059.55</v>
      </c>
      <c r="I22" s="1"/>
    </row>
    <row r="23" spans="1:9" x14ac:dyDescent="0.25">
      <c r="A23" s="9"/>
      <c r="B23" s="16"/>
      <c r="C23" s="11"/>
      <c r="D23" s="12"/>
      <c r="E23" s="17"/>
      <c r="F23" s="14"/>
      <c r="G23" s="11"/>
      <c r="H23" s="18"/>
      <c r="I23" s="1"/>
    </row>
  </sheetData>
  <mergeCells count="11">
    <mergeCell ref="H7:H8"/>
    <mergeCell ref="A1:C4"/>
    <mergeCell ref="D1:I4"/>
    <mergeCell ref="A5:I6"/>
    <mergeCell ref="A7:A8"/>
    <mergeCell ref="B7:B8"/>
    <mergeCell ref="C7:C8"/>
    <mergeCell ref="D7:D8"/>
    <mergeCell ref="E7:E8"/>
    <mergeCell ref="F7:F8"/>
    <mergeCell ref="G7:G8"/>
  </mergeCells>
  <pageMargins left="0.7" right="0.7" top="0.75" bottom="0.75" header="0.3" footer="0.3"/>
  <pageSetup scale="48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4" name="Button 1">
              <controlPr defaultSize="0" print="0" autoFill="0" autoPict="0">
                <anchor moveWithCells="1" sizeWithCells="1">
                  <from>
                    <xdr:col>2</xdr:col>
                    <xdr:colOff>123825</xdr:colOff>
                    <xdr:row>1</xdr:row>
                    <xdr:rowOff>28575</xdr:rowOff>
                  </from>
                  <to>
                    <xdr:col>2</xdr:col>
                    <xdr:colOff>1619250</xdr:colOff>
                    <xdr:row>3</xdr:row>
                    <xdr:rowOff>76200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4332A-FF62-414E-91B6-D92AC9253212}">
  <sheetPr>
    <pageSetUpPr fitToPage="1"/>
  </sheetPr>
  <dimension ref="A1:I23"/>
  <sheetViews>
    <sheetView tabSelected="1" zoomScale="85" zoomScaleNormal="85" workbookViewId="0">
      <selection activeCell="E26" sqref="E26"/>
    </sheetView>
  </sheetViews>
  <sheetFormatPr baseColWidth="10" defaultColWidth="9.140625" defaultRowHeight="15" x14ac:dyDescent="0.25"/>
  <cols>
    <col min="1" max="1" width="12.28515625" bestFit="1" customWidth="1"/>
    <col min="2" max="2" width="18.42578125" bestFit="1" customWidth="1"/>
    <col min="3" max="3" width="27" bestFit="1" customWidth="1"/>
    <col min="4" max="4" width="28.7109375" bestFit="1" customWidth="1"/>
    <col min="5" max="5" width="62.7109375" bestFit="1" customWidth="1"/>
    <col min="6" max="6" width="17" bestFit="1" customWidth="1"/>
    <col min="7" max="7" width="57.85546875" bestFit="1" customWidth="1"/>
    <col min="8" max="8" width="21.42578125" bestFit="1" customWidth="1"/>
  </cols>
  <sheetData>
    <row r="1" spans="1:9" x14ac:dyDescent="0.25">
      <c r="A1" s="21" t="s">
        <v>0</v>
      </c>
      <c r="B1" s="22"/>
      <c r="C1" s="23"/>
      <c r="D1" s="30" t="s">
        <v>1</v>
      </c>
      <c r="E1" s="31"/>
      <c r="F1" s="31"/>
      <c r="G1" s="31"/>
      <c r="H1" s="31"/>
      <c r="I1" s="32"/>
    </row>
    <row r="2" spans="1:9" x14ac:dyDescent="0.25">
      <c r="A2" s="24"/>
      <c r="B2" s="25"/>
      <c r="C2" s="26"/>
      <c r="D2" s="33"/>
      <c r="E2" s="34"/>
      <c r="F2" s="34"/>
      <c r="G2" s="34"/>
      <c r="H2" s="34"/>
      <c r="I2" s="35"/>
    </row>
    <row r="3" spans="1:9" x14ac:dyDescent="0.25">
      <c r="A3" s="24"/>
      <c r="B3" s="25"/>
      <c r="C3" s="26"/>
      <c r="D3" s="33"/>
      <c r="E3" s="34"/>
      <c r="F3" s="34"/>
      <c r="G3" s="34"/>
      <c r="H3" s="34"/>
      <c r="I3" s="35"/>
    </row>
    <row r="4" spans="1:9" x14ac:dyDescent="0.25">
      <c r="A4" s="27"/>
      <c r="B4" s="28"/>
      <c r="C4" s="29"/>
      <c r="D4" s="36"/>
      <c r="E4" s="37"/>
      <c r="F4" s="37"/>
      <c r="G4" s="37"/>
      <c r="H4" s="37"/>
      <c r="I4" s="38"/>
    </row>
    <row r="5" spans="1:9" x14ac:dyDescent="0.25">
      <c r="A5" s="39"/>
      <c r="B5" s="40"/>
      <c r="C5" s="40"/>
      <c r="D5" s="40"/>
      <c r="E5" s="40"/>
      <c r="F5" s="40"/>
      <c r="G5" s="40"/>
      <c r="H5" s="40"/>
      <c r="I5" s="41"/>
    </row>
    <row r="6" spans="1:9" x14ac:dyDescent="0.25">
      <c r="A6" s="42"/>
      <c r="B6" s="43"/>
      <c r="C6" s="43"/>
      <c r="D6" s="43"/>
      <c r="E6" s="43"/>
      <c r="F6" s="43"/>
      <c r="G6" s="43"/>
      <c r="H6" s="43"/>
      <c r="I6" s="44"/>
    </row>
    <row r="7" spans="1:9" x14ac:dyDescent="0.25">
      <c r="A7" s="45" t="s">
        <v>2</v>
      </c>
      <c r="B7" s="47" t="s">
        <v>3</v>
      </c>
      <c r="C7" s="19" t="s">
        <v>4</v>
      </c>
      <c r="D7" s="47" t="s">
        <v>5</v>
      </c>
      <c r="E7" s="47" t="s">
        <v>6</v>
      </c>
      <c r="F7" s="47" t="s">
        <v>7</v>
      </c>
      <c r="G7" s="19" t="s">
        <v>8</v>
      </c>
      <c r="H7" s="19"/>
      <c r="I7" s="1"/>
    </row>
    <row r="8" spans="1:9" x14ac:dyDescent="0.25">
      <c r="A8" s="46"/>
      <c r="B8" s="48"/>
      <c r="C8" s="20"/>
      <c r="D8" s="48"/>
      <c r="E8" s="48"/>
      <c r="F8" s="48"/>
      <c r="G8" s="20"/>
      <c r="H8" s="20"/>
      <c r="I8" s="1"/>
    </row>
    <row r="9" spans="1:9" x14ac:dyDescent="0.25">
      <c r="A9" s="2"/>
      <c r="B9" s="3"/>
      <c r="C9" s="2"/>
      <c r="D9" s="3"/>
      <c r="E9" s="2"/>
      <c r="F9" s="3"/>
      <c r="G9" s="2"/>
      <c r="H9" s="3"/>
      <c r="I9" s="1"/>
    </row>
    <row r="10" spans="1:9" ht="15.75" x14ac:dyDescent="0.25">
      <c r="A10" s="2"/>
      <c r="B10" s="3"/>
      <c r="C10" s="4"/>
      <c r="D10" s="5"/>
      <c r="E10" s="5"/>
      <c r="F10" s="6"/>
      <c r="G10" s="7"/>
      <c r="H10" s="8">
        <v>1170879.55</v>
      </c>
      <c r="I10" s="1"/>
    </row>
    <row r="11" spans="1:9" ht="15.75" x14ac:dyDescent="0.25">
      <c r="A11" s="7"/>
      <c r="B11" s="7"/>
      <c r="C11" s="7"/>
      <c r="D11" s="7"/>
      <c r="E11" s="7"/>
      <c r="F11" s="7"/>
      <c r="G11" s="7"/>
      <c r="H11" s="8"/>
      <c r="I11" s="1"/>
    </row>
    <row r="12" spans="1:9" x14ac:dyDescent="0.25">
      <c r="A12" s="9">
        <v>46243</v>
      </c>
      <c r="B12" s="10">
        <v>65777220</v>
      </c>
      <c r="C12" s="11" t="s">
        <v>9</v>
      </c>
      <c r="D12" s="12" t="s">
        <v>10</v>
      </c>
      <c r="E12" s="12" t="s">
        <v>11</v>
      </c>
      <c r="F12" s="10">
        <v>65777220</v>
      </c>
      <c r="G12" s="11" t="s">
        <v>9</v>
      </c>
      <c r="H12" s="13">
        <v>17000</v>
      </c>
      <c r="I12" s="1"/>
    </row>
    <row r="13" spans="1:9" x14ac:dyDescent="0.25">
      <c r="A13" s="9">
        <v>46243</v>
      </c>
      <c r="B13" s="10">
        <v>65777220</v>
      </c>
      <c r="C13" s="11" t="s">
        <v>9</v>
      </c>
      <c r="D13" s="12" t="s">
        <v>10</v>
      </c>
      <c r="E13" s="12" t="s">
        <v>11</v>
      </c>
      <c r="F13" s="10">
        <v>65777220</v>
      </c>
      <c r="G13" s="11" t="s">
        <v>9</v>
      </c>
      <c r="H13" s="13">
        <v>12000</v>
      </c>
      <c r="I13" s="1"/>
    </row>
    <row r="14" spans="1:9" x14ac:dyDescent="0.25">
      <c r="A14" s="9">
        <v>46243</v>
      </c>
      <c r="B14" s="10">
        <v>65777220</v>
      </c>
      <c r="C14" s="11" t="s">
        <v>9</v>
      </c>
      <c r="D14" s="12" t="s">
        <v>10</v>
      </c>
      <c r="E14" s="12" t="s">
        <v>11</v>
      </c>
      <c r="F14" s="10">
        <v>65777220</v>
      </c>
      <c r="G14" s="11" t="s">
        <v>9</v>
      </c>
      <c r="H14" s="13">
        <v>48000</v>
      </c>
      <c r="I14" s="1"/>
    </row>
    <row r="15" spans="1:9" x14ac:dyDescent="0.25">
      <c r="A15" s="9">
        <v>46243</v>
      </c>
      <c r="B15" s="10">
        <v>65777220</v>
      </c>
      <c r="C15" s="11" t="s">
        <v>9</v>
      </c>
      <c r="D15" s="12" t="s">
        <v>10</v>
      </c>
      <c r="E15" s="12" t="s">
        <v>11</v>
      </c>
      <c r="F15" s="10">
        <v>65777220</v>
      </c>
      <c r="G15" s="11" t="s">
        <v>9</v>
      </c>
      <c r="H15" s="13">
        <v>15120</v>
      </c>
      <c r="I15" s="1"/>
    </row>
    <row r="16" spans="1:9" x14ac:dyDescent="0.25">
      <c r="A16" s="9">
        <v>46243</v>
      </c>
      <c r="B16" s="10">
        <v>65777220</v>
      </c>
      <c r="C16" s="11" t="s">
        <v>9</v>
      </c>
      <c r="D16" s="12" t="s">
        <v>10</v>
      </c>
      <c r="E16" s="12" t="s">
        <v>11</v>
      </c>
      <c r="F16" s="10">
        <v>65777220</v>
      </c>
      <c r="G16" s="11" t="s">
        <v>9</v>
      </c>
      <c r="H16" s="13">
        <v>28700</v>
      </c>
      <c r="I16" s="1"/>
    </row>
    <row r="17" spans="1:9" x14ac:dyDescent="0.25">
      <c r="A17" s="9">
        <v>46243</v>
      </c>
      <c r="B17" s="10">
        <v>65777220</v>
      </c>
      <c r="C17" s="11" t="s">
        <v>9</v>
      </c>
      <c r="D17" s="12" t="s">
        <v>10</v>
      </c>
      <c r="E17" s="12" t="s">
        <v>11</v>
      </c>
      <c r="F17" s="10">
        <v>65777220</v>
      </c>
      <c r="G17" s="11" t="s">
        <v>9</v>
      </c>
      <c r="H17" s="13">
        <v>10000</v>
      </c>
      <c r="I17" s="1"/>
    </row>
    <row r="18" spans="1:9" x14ac:dyDescent="0.25">
      <c r="A18" s="9">
        <v>46243</v>
      </c>
      <c r="B18" s="10">
        <v>65737477</v>
      </c>
      <c r="C18" s="11" t="s">
        <v>9</v>
      </c>
      <c r="D18" s="12" t="s">
        <v>10</v>
      </c>
      <c r="E18" s="12" t="s">
        <v>11</v>
      </c>
      <c r="F18" s="10">
        <v>65777220</v>
      </c>
      <c r="G18" s="11" t="s">
        <v>9</v>
      </c>
      <c r="H18" s="13">
        <v>35000</v>
      </c>
      <c r="I18" s="1"/>
    </row>
    <row r="19" spans="1:9" x14ac:dyDescent="0.25">
      <c r="A19" s="9"/>
      <c r="B19" s="10"/>
      <c r="C19" s="11"/>
      <c r="D19" s="12"/>
      <c r="E19" s="12"/>
      <c r="F19" s="10"/>
      <c r="G19" s="11"/>
      <c r="H19" s="13"/>
      <c r="I19" s="1"/>
    </row>
    <row r="20" spans="1:9" x14ac:dyDescent="0.25">
      <c r="A20" s="9"/>
      <c r="B20" s="10"/>
      <c r="C20" s="11"/>
      <c r="D20" s="12"/>
      <c r="E20" s="12"/>
      <c r="F20" s="14"/>
      <c r="G20" s="15"/>
      <c r="H20" s="13">
        <f>SUM(H12:H19)</f>
        <v>165820</v>
      </c>
      <c r="I20" s="1"/>
    </row>
    <row r="21" spans="1:9" x14ac:dyDescent="0.25">
      <c r="A21" s="9"/>
      <c r="B21" s="16"/>
      <c r="C21" s="11"/>
      <c r="D21" s="12"/>
      <c r="E21" s="12"/>
      <c r="F21" s="14"/>
      <c r="G21" s="15"/>
      <c r="H21" s="13"/>
      <c r="I21" s="1"/>
    </row>
    <row r="22" spans="1:9" x14ac:dyDescent="0.25">
      <c r="A22" s="9"/>
      <c r="B22" s="16"/>
      <c r="C22" s="11"/>
      <c r="D22" s="12"/>
      <c r="E22" s="12"/>
      <c r="F22" s="14"/>
      <c r="G22" s="15"/>
      <c r="H22" s="13">
        <f>+H10-H20</f>
        <v>1005059.55</v>
      </c>
      <c r="I22" s="1"/>
    </row>
    <row r="23" spans="1:9" x14ac:dyDescent="0.25">
      <c r="A23" s="9"/>
      <c r="B23" s="16"/>
      <c r="C23" s="11"/>
      <c r="D23" s="12"/>
      <c r="E23" s="17"/>
      <c r="F23" s="14"/>
      <c r="G23" s="11"/>
      <c r="H23" s="18"/>
      <c r="I23" s="1"/>
    </row>
  </sheetData>
  <mergeCells count="11">
    <mergeCell ref="H7:H8"/>
    <mergeCell ref="A1:C4"/>
    <mergeCell ref="D1:I4"/>
    <mergeCell ref="A5:I6"/>
    <mergeCell ref="A7:A8"/>
    <mergeCell ref="B7:B8"/>
    <mergeCell ref="C7:C8"/>
    <mergeCell ref="D7:D8"/>
    <mergeCell ref="E7:E8"/>
    <mergeCell ref="F7:F8"/>
    <mergeCell ref="G7:G8"/>
  </mergeCells>
  <pageMargins left="0.7" right="0.7" top="0.75" bottom="0.75" header="0.3" footer="0.3"/>
  <pageSetup scale="48" orientation="landscape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>
                <anchor moveWithCells="1" sizeWithCells="1">
                  <from>
                    <xdr:col>2</xdr:col>
                    <xdr:colOff>123825</xdr:colOff>
                    <xdr:row>1</xdr:row>
                    <xdr:rowOff>28575</xdr:rowOff>
                  </from>
                  <to>
                    <xdr:col>2</xdr:col>
                    <xdr:colOff>1619250</xdr:colOff>
                    <xdr:row>3</xdr:row>
                    <xdr:rowOff>76200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AGOSTO 9 2026</vt:lpstr>
      <vt:lpstr>AGOSTO 10 2026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2026-08-06T22:46:32Z</dcterms:created>
  <dcterms:modified xsi:type="dcterms:W3CDTF">2026-08-06T22:57:14Z</dcterms:modified>
</cp:coreProperties>
</file>