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activeTab="1"/>
  </bookViews>
  <sheets>
    <sheet name="AGOSTO 9 2026" sheetId="1" r:id="rId1"/>
    <sheet name="AGOSTO 10 2026 " sheetId="2" r:id="rId2"/>
  </sheets>
  <definedNames>
    <definedName name="d">#REF!</definedName>
    <definedName name="DB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<sst xmlns="http://schemas.openxmlformats.org/spreadsheetml/2006/main" count="74" uniqueCount="12">
  <si>
    <t xml:space="preserve"> </t>
  </si>
  <si>
    <t xml:space="preserve">CAJA MENOR </t>
  </si>
  <si>
    <t>FECHA</t>
  </si>
  <si>
    <t>CEDULA(NIT)</t>
  </si>
  <si>
    <t>NOMBRE</t>
  </si>
  <si>
    <t>FUNCIONARIO</t>
  </si>
  <si>
    <t>DESCRIPCIÓN O DETALLE</t>
  </si>
  <si>
    <t>NIT</t>
  </si>
  <si>
    <t>PROVEEDOR</t>
  </si>
  <si>
    <t>MAGDA TAFUR</t>
  </si>
  <si>
    <t>COMPRAS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</si>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</sst>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$&quot;* #,##0.00_-;\-&quot;$&quot;* #,##0.00_-;_-&quot;$&quot;* &quot;-&quot;??_-;_-@_-"/>
    <numFmt numFmtId="179" formatCode="_-&quot;$&quot;\ * #,##0.00_-;\-&quot;$&quot;\ * #,##0.00_-;_-&quot;$&quot;\ * &quot;-&quot;??_-;_-@_-"/>
  </numFmts>
  <fonts count="28">
    <font>
      <sz val="11"/>
      <color theme="1"/>
      <name val="Calibri"/>
      <charset val="134"/>
      <scheme val="minor"/>
    </font>
    <font>
      <sz val="12"/>
      <color theme="1"/>
      <name val="Tahoma"/>
      <charset val="134"/>
    </font>
    <font>
      <b/>
      <sz val="28"/>
      <color theme="1"/>
      <name val="Tahoma"/>
      <charset val="134"/>
    </font>
    <font>
      <b/>
      <sz val="12"/>
      <color theme="1"/>
      <name val="Tahoma"/>
      <charset val="134"/>
    </font>
    <font>
      <b/>
      <i/>
      <sz val="12"/>
      <color theme="1"/>
      <name val="Tahoma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7" fillId="0" borderId="0"/>
  </cellStyleXfs>
  <cellXfs count="49">
    <xf numFmtId="0" fontId="0" fillId="0" borderId="0" xfId="0"/>
    <xf numFmtId="0" fontId="1" fillId="2" borderId="1" xfId="50" applyFont="1" applyFill="1" applyBorder="1" applyAlignment="1">
      <alignment horizontal="center" vertical="center"/>
    </xf>
    <xf numFmtId="0" fontId="1" fillId="2" borderId="2" xfId="50" applyFont="1" applyFill="1" applyBorder="1" applyAlignment="1">
      <alignment horizontal="center" vertical="center"/>
    </xf>
    <xf numFmtId="0" fontId="1" fillId="2" borderId="3" xfId="50" applyFont="1" applyFill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 wrapText="1"/>
    </xf>
    <xf numFmtId="0" fontId="3" fillId="2" borderId="2" xfId="50" applyFont="1" applyFill="1" applyBorder="1" applyAlignment="1">
      <alignment horizontal="center" vertical="center" wrapText="1"/>
    </xf>
    <xf numFmtId="0" fontId="3" fillId="2" borderId="3" xfId="50" applyFont="1" applyFill="1" applyBorder="1" applyAlignment="1">
      <alignment horizontal="center" vertical="center" wrapText="1"/>
    </xf>
    <xf numFmtId="0" fontId="1" fillId="2" borderId="4" xfId="50" applyFont="1" applyFill="1" applyBorder="1" applyAlignment="1">
      <alignment horizontal="center" vertical="center"/>
    </xf>
    <xf numFmtId="0" fontId="1" fillId="2" borderId="0" xfId="50" applyFont="1" applyFill="1" applyAlignment="1">
      <alignment horizontal="center" vertical="center"/>
    </xf>
    <xf numFmtId="0" fontId="1" fillId="2" borderId="5" xfId="50" applyFont="1" applyFill="1" applyBorder="1" applyAlignment="1">
      <alignment horizontal="center" vertical="center"/>
    </xf>
    <xf numFmtId="0" fontId="3" fillId="2" borderId="4" xfId="50" applyFont="1" applyFill="1" applyBorder="1" applyAlignment="1">
      <alignment horizontal="center" vertical="center" wrapText="1"/>
    </xf>
    <xf numFmtId="0" fontId="3" fillId="2" borderId="0" xfId="50" applyFont="1" applyFill="1" applyAlignment="1">
      <alignment horizontal="center" vertical="center" wrapText="1"/>
    </xf>
    <xf numFmtId="0" fontId="3" fillId="2" borderId="5" xfId="50" applyFont="1" applyFill="1" applyBorder="1" applyAlignment="1">
      <alignment horizontal="center" vertical="center" wrapText="1"/>
    </xf>
    <xf numFmtId="0" fontId="1" fillId="2" borderId="6" xfId="50" applyFont="1" applyFill="1" applyBorder="1" applyAlignment="1">
      <alignment horizontal="center" vertical="center"/>
    </xf>
    <xf numFmtId="0" fontId="1" fillId="2" borderId="7" xfId="50" applyFont="1" applyFill="1" applyBorder="1" applyAlignment="1">
      <alignment horizontal="center" vertical="center"/>
    </xf>
    <xf numFmtId="0" fontId="1" fillId="2" borderId="8" xfId="50" applyFont="1" applyFill="1" applyBorder="1" applyAlignment="1">
      <alignment horizontal="center" vertical="center"/>
    </xf>
    <xf numFmtId="0" fontId="3" fillId="2" borderId="6" xfId="50" applyFont="1" applyFill="1" applyBorder="1" applyAlignment="1">
      <alignment horizontal="center" vertical="center" wrapText="1"/>
    </xf>
    <xf numFmtId="0" fontId="3" fillId="2" borderId="7" xfId="50" applyFont="1" applyFill="1" applyBorder="1" applyAlignment="1">
      <alignment horizontal="center" vertical="center" wrapText="1"/>
    </xf>
    <xf numFmtId="0" fontId="3" fillId="2" borderId="8" xfId="50" applyFont="1" applyFill="1" applyBorder="1" applyAlignment="1">
      <alignment horizontal="center" vertical="center" wrapText="1"/>
    </xf>
    <xf numFmtId="49" fontId="3" fillId="3" borderId="1" xfId="50" applyNumberFormat="1" applyFont="1" applyFill="1" applyBorder="1" applyAlignment="1">
      <alignment horizontal="center" vertical="center"/>
    </xf>
    <xf numFmtId="49" fontId="3" fillId="3" borderId="2" xfId="50" applyNumberFormat="1" applyFont="1" applyFill="1" applyBorder="1" applyAlignment="1">
      <alignment horizontal="center" vertical="center"/>
    </xf>
    <xf numFmtId="49" fontId="3" fillId="3" borderId="3" xfId="50" applyNumberFormat="1" applyFont="1" applyFill="1" applyBorder="1" applyAlignment="1">
      <alignment horizontal="center" vertical="center"/>
    </xf>
    <xf numFmtId="49" fontId="3" fillId="3" borderId="6" xfId="50" applyNumberFormat="1" applyFont="1" applyFill="1" applyBorder="1" applyAlignment="1">
      <alignment horizontal="center" vertical="center"/>
    </xf>
    <xf numFmtId="49" fontId="3" fillId="3" borderId="7" xfId="50" applyNumberFormat="1" applyFont="1" applyFill="1" applyBorder="1" applyAlignment="1">
      <alignment horizontal="center" vertical="center"/>
    </xf>
    <xf numFmtId="49" fontId="3" fillId="3" borderId="8" xfId="50" applyNumberFormat="1" applyFont="1" applyFill="1" applyBorder="1" applyAlignment="1">
      <alignment horizontal="center" vertical="center"/>
    </xf>
    <xf numFmtId="58" fontId="4" fillId="4" borderId="9" xfId="50" applyNumberFormat="1" applyFont="1" applyFill="1" applyBorder="1" applyAlignment="1">
      <alignment horizontal="center" vertical="center"/>
    </xf>
    <xf numFmtId="0" fontId="4" fillId="4" borderId="9" xfId="50" applyFont="1" applyFill="1" applyBorder="1" applyAlignment="1">
      <alignment horizontal="center" vertical="center" wrapText="1"/>
    </xf>
    <xf numFmtId="0" fontId="4" fillId="4" borderId="9" xfId="50" applyFont="1" applyFill="1" applyBorder="1" applyAlignment="1">
      <alignment horizontal="center" vertical="center"/>
    </xf>
    <xf numFmtId="0" fontId="0" fillId="0" borderId="10" xfId="0" applyBorder="1"/>
    <xf numFmtId="58" fontId="4" fillId="4" borderId="11" xfId="50" applyNumberFormat="1" applyFont="1" applyFill="1" applyBorder="1" applyAlignment="1">
      <alignment horizontal="center" vertical="center"/>
    </xf>
    <xf numFmtId="0" fontId="4" fillId="4" borderId="11" xfId="50" applyFont="1" applyFill="1" applyBorder="1" applyAlignment="1">
      <alignment horizontal="center" vertical="center" wrapText="1"/>
    </xf>
    <xf numFmtId="0" fontId="4" fillId="4" borderId="11" xfId="50" applyFont="1" applyFill="1" applyBorder="1" applyAlignment="1">
      <alignment horizontal="center" vertical="center"/>
    </xf>
    <xf numFmtId="58" fontId="3" fillId="0" borderId="10" xfId="50" applyNumberFormat="1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3" fontId="3" fillId="0" borderId="10" xfId="50" applyNumberFormat="1" applyFont="1" applyBorder="1" applyAlignment="1">
      <alignment horizontal="center" vertical="center"/>
    </xf>
    <xf numFmtId="4" fontId="3" fillId="0" borderId="10" xfId="50" applyNumberFormat="1" applyFont="1" applyBorder="1" applyAlignment="1">
      <alignment horizontal="center" vertical="center"/>
    </xf>
    <xf numFmtId="4" fontId="5" fillId="2" borderId="10" xfId="50" applyNumberFormat="1" applyFont="1" applyFill="1" applyBorder="1" applyAlignment="1">
      <alignment horizontal="center" vertical="center" wrapText="1"/>
    </xf>
    <xf numFmtId="58" fontId="3" fillId="2" borderId="10" xfId="50" applyNumberFormat="1" applyFont="1" applyFill="1" applyBorder="1" applyAlignment="1">
      <alignment horizontal="center" vertical="center"/>
    </xf>
    <xf numFmtId="179" fontId="3" fillId="0" borderId="10" xfId="50" applyNumberFormat="1" applyFont="1" applyBorder="1" applyAlignment="1">
      <alignment horizontal="center"/>
    </xf>
    <xf numFmtId="58" fontId="1" fillId="2" borderId="10" xfId="5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3" fontId="6" fillId="6" borderId="10" xfId="50" applyNumberFormat="1" applyFont="1" applyFill="1" applyBorder="1" applyAlignment="1">
      <alignment horizontal="center" vertical="center"/>
    </xf>
    <xf numFmtId="4" fontId="6" fillId="0" borderId="10" xfId="50" applyNumberFormat="1" applyFont="1" applyBorder="1" applyAlignment="1">
      <alignment horizontal="center" vertical="center"/>
    </xf>
    <xf numFmtId="178" fontId="6" fillId="2" borderId="10" xfId="49" applyFont="1" applyFill="1" applyBorder="1" applyAlignment="1">
      <alignment horizontal="center" vertical="center"/>
    </xf>
    <xf numFmtId="49" fontId="6" fillId="5" borderId="10" xfId="50" applyNumberFormat="1" applyFont="1" applyFill="1" applyBorder="1" applyAlignment="1">
      <alignment horizontal="center" vertical="center"/>
    </xf>
    <xf numFmtId="3" fontId="6" fillId="6" borderId="10" xfId="50" applyNumberFormat="1" applyFont="1" applyFill="1" applyBorder="1" applyAlignment="1">
      <alignment horizontal="center" vertical="center" wrapText="1"/>
    </xf>
    <xf numFmtId="3" fontId="1" fillId="5" borderId="10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78" fontId="6" fillId="0" borderId="10" xfId="49" applyFont="1" applyBorder="1" applyAlignment="1">
      <alignment vertical="center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Moneda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</xdr:row>
          <xdr:rowOff>28575</xdr:rowOff>
        </xdr:from>
        <xdr:to>
          <xdr:col>2</xdr:col>
          <xdr:colOff>1619250</xdr:colOff>
          <xdr:row>3</xdr:row>
          <xdr:rowOff>76200</xdr:rowOff>
        </xdr:to>
        <xdr:sp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268855" y="212725"/>
              <a:ext cx="1495425" cy="41592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AGREGAR TERCERO</a:t>
              </a:r>
              <a:endParaRPr lang="en-US" sz="9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</xdr:row>
          <xdr:rowOff>28575</xdr:rowOff>
        </xdr:from>
        <xdr:to>
          <xdr:col>2</xdr:col>
          <xdr:colOff>1619250</xdr:colOff>
          <xdr:row>3</xdr:row>
          <xdr:rowOff>76200</xdr:rowOff>
        </xdr:to>
        <xdr:sp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2268855" y="212725"/>
              <a:ext cx="1495425" cy="41592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AGREGAR TERCERO</a:t>
              </a:r>
              <a:endParaRPr lang="en-US" sz="9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zoomScale="85" zoomScaleNormal="85" topLeftCell="D10" workbookViewId="0">
      <selection activeCell="G26" sqref="G26"/>
    </sheetView>
  </sheetViews>
  <sheetFormatPr defaultColWidth="9.13636363636364" defaultRowHeight="14.5"/>
  <cols>
    <col min="1" max="1" width="12.2818181818182" customWidth="1"/>
    <col min="2" max="2" width="18.4272727272727" customWidth="1"/>
    <col min="3" max="3" width="27" customWidth="1"/>
    <col min="4" max="4" width="28.7090909090909" customWidth="1"/>
    <col min="5" max="5" width="62.7090909090909" customWidth="1"/>
    <col min="6" max="6" width="17" customWidth="1"/>
    <col min="7" max="7" width="57.8545454545455" customWidth="1"/>
    <col min="8" max="8" width="21.4272727272727" customWidth="1"/>
  </cols>
  <sheetData>
    <row r="1" spans="1:9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6"/>
    </row>
    <row r="2" spans="1:9">
      <c r="A2" s="7"/>
      <c r="B2" s="8"/>
      <c r="C2" s="9"/>
      <c r="D2" s="10"/>
      <c r="E2" s="11"/>
      <c r="F2" s="11"/>
      <c r="G2" s="11"/>
      <c r="H2" s="11"/>
      <c r="I2" s="12"/>
    </row>
    <row r="3" spans="1:9">
      <c r="A3" s="7"/>
      <c r="B3" s="8"/>
      <c r="C3" s="9"/>
      <c r="D3" s="10"/>
      <c r="E3" s="11"/>
      <c r="F3" s="11"/>
      <c r="G3" s="11"/>
      <c r="H3" s="11"/>
      <c r="I3" s="12"/>
    </row>
    <row r="4" spans="1:9">
      <c r="A4" s="13"/>
      <c r="B4" s="14"/>
      <c r="C4" s="15"/>
      <c r="D4" s="16"/>
      <c r="E4" s="17"/>
      <c r="F4" s="17"/>
      <c r="G4" s="17"/>
      <c r="H4" s="17"/>
      <c r="I4" s="18"/>
    </row>
    <row r="5" spans="1:9">
      <c r="A5" s="19"/>
      <c r="B5" s="20"/>
      <c r="C5" s="20"/>
      <c r="D5" s="20"/>
      <c r="E5" s="20"/>
      <c r="F5" s="20"/>
      <c r="G5" s="20"/>
      <c r="H5" s="20"/>
      <c r="I5" s="21"/>
    </row>
    <row r="6" spans="1:9">
      <c r="A6" s="22"/>
      <c r="B6" s="23"/>
      <c r="C6" s="23"/>
      <c r="D6" s="23"/>
      <c r="E6" s="23"/>
      <c r="F6" s="23"/>
      <c r="G6" s="23"/>
      <c r="H6" s="23"/>
      <c r="I6" s="24"/>
    </row>
    <row r="7" spans="1:9">
      <c r="A7" s="25" t="s">
        <v>2</v>
      </c>
      <c r="B7" s="26" t="s">
        <v>3</v>
      </c>
      <c r="C7" s="27" t="s">
        <v>4</v>
      </c>
      <c r="D7" s="26" t="s">
        <v>5</v>
      </c>
      <c r="E7" s="26" t="s">
        <v>6</v>
      </c>
      <c r="F7" s="26" t="s">
        <v>7</v>
      </c>
      <c r="G7" s="27" t="s">
        <v>8</v>
      </c>
      <c r="H7" s="27"/>
      <c r="I7" s="28"/>
    </row>
    <row r="8" spans="1:9">
      <c r="A8" s="29"/>
      <c r="B8" s="30"/>
      <c r="C8" s="31"/>
      <c r="D8" s="30"/>
      <c r="E8" s="30"/>
      <c r="F8" s="30"/>
      <c r="G8" s="31"/>
      <c r="H8" s="31"/>
      <c r="I8" s="28"/>
    </row>
    <row r="9" ht="15" spans="1:9">
      <c r="A9" s="32"/>
      <c r="B9" s="33"/>
      <c r="C9" s="32"/>
      <c r="D9" s="33"/>
      <c r="E9" s="32"/>
      <c r="F9" s="33"/>
      <c r="G9" s="32"/>
      <c r="H9" s="33"/>
      <c r="I9" s="28"/>
    </row>
    <row r="10" ht="15.5" spans="1:9">
      <c r="A10" s="32"/>
      <c r="B10" s="33"/>
      <c r="C10" s="34"/>
      <c r="D10" s="35"/>
      <c r="E10" s="35"/>
      <c r="F10" s="36"/>
      <c r="G10" s="37"/>
      <c r="H10" s="38">
        <v>1170879.55</v>
      </c>
      <c r="I10" s="28"/>
    </row>
    <row r="11" ht="15" spans="1:9">
      <c r="A11" s="37"/>
      <c r="B11" s="37"/>
      <c r="C11" s="37"/>
      <c r="D11" s="37"/>
      <c r="E11" s="37"/>
      <c r="F11" s="37"/>
      <c r="G11" s="37"/>
      <c r="H11" s="38"/>
      <c r="I11" s="28"/>
    </row>
    <row r="12" ht="15.5" spans="1:9">
      <c r="A12" s="39">
        <v>46243</v>
      </c>
      <c r="B12" s="40">
        <v>65777220</v>
      </c>
      <c r="C12" s="41" t="s">
        <v>9</v>
      </c>
      <c r="D12" s="42" t="s">
        <v>10</v>
      </c>
      <c r="E12" s="42" t="s">
        <v>11</v>
      </c>
      <c r="F12" s="40">
        <v>65777220</v>
      </c>
      <c r="G12" s="41" t="s">
        <v>9</v>
      </c>
      <c r="H12" s="43">
        <v>17000</v>
      </c>
      <c r="I12" s="28"/>
    </row>
    <row r="13" ht="15.5" spans="1:9">
      <c r="A13" s="39">
        <v>46243</v>
      </c>
      <c r="B13" s="40">
        <v>65777220</v>
      </c>
      <c r="C13" s="41" t="s">
        <v>9</v>
      </c>
      <c r="D13" s="42" t="s">
        <v>10</v>
      </c>
      <c r="E13" s="42" t="s">
        <v>11</v>
      </c>
      <c r="F13" s="40">
        <v>65777220</v>
      </c>
      <c r="G13" s="41" t="s">
        <v>9</v>
      </c>
      <c r="H13" s="43">
        <v>12000</v>
      </c>
      <c r="I13" s="28"/>
    </row>
    <row r="14" ht="15.5" spans="1:9">
      <c r="A14" s="39">
        <v>46243</v>
      </c>
      <c r="B14" s="40">
        <v>65777220</v>
      </c>
      <c r="C14" s="41" t="s">
        <v>9</v>
      </c>
      <c r="D14" s="42" t="s">
        <v>10</v>
      </c>
      <c r="E14" s="42" t="s">
        <v>11</v>
      </c>
      <c r="F14" s="40">
        <v>65777220</v>
      </c>
      <c r="G14" s="41" t="s">
        <v>9</v>
      </c>
      <c r="H14" s="43">
        <v>48000</v>
      </c>
      <c r="I14" s="28"/>
    </row>
    <row r="15" ht="15.5" spans="1:9">
      <c r="A15" s="39">
        <v>46243</v>
      </c>
      <c r="B15" s="40">
        <v>65777220</v>
      </c>
      <c r="C15" s="41" t="s">
        <v>9</v>
      </c>
      <c r="D15" s="42" t="s">
        <v>10</v>
      </c>
      <c r="E15" s="42" t="s">
        <v>11</v>
      </c>
      <c r="F15" s="40">
        <v>65777220</v>
      </c>
      <c r="G15" s="41" t="s">
        <v>9</v>
      </c>
      <c r="H15" s="43">
        <v>15120</v>
      </c>
      <c r="I15" s="28"/>
    </row>
    <row r="16" ht="15.5" spans="1:9">
      <c r="A16" s="39">
        <v>46243</v>
      </c>
      <c r="B16" s="40">
        <v>65777220</v>
      </c>
      <c r="C16" s="41" t="s">
        <v>9</v>
      </c>
      <c r="D16" s="42" t="s">
        <v>10</v>
      </c>
      <c r="E16" s="42" t="s">
        <v>11</v>
      </c>
      <c r="F16" s="40">
        <v>65777220</v>
      </c>
      <c r="G16" s="41" t="s">
        <v>9</v>
      </c>
      <c r="H16" s="43">
        <v>28700</v>
      </c>
      <c r="I16" s="28"/>
    </row>
    <row r="17" ht="15.5" spans="1:9">
      <c r="A17" s="39">
        <v>46243</v>
      </c>
      <c r="B17" s="40">
        <v>65777220</v>
      </c>
      <c r="C17" s="41" t="s">
        <v>9</v>
      </c>
      <c r="D17" s="42" t="s">
        <v>10</v>
      </c>
      <c r="E17" s="42" t="s">
        <v>11</v>
      </c>
      <c r="F17" s="40">
        <v>65777220</v>
      </c>
      <c r="G17" s="41" t="s">
        <v>9</v>
      </c>
      <c r="H17" s="43">
        <v>10000</v>
      </c>
      <c r="I17" s="28"/>
    </row>
    <row r="18" ht="15.5" spans="1:9">
      <c r="A18" s="39">
        <v>46243</v>
      </c>
      <c r="B18" s="40">
        <v>65737477</v>
      </c>
      <c r="C18" s="41" t="s">
        <v>9</v>
      </c>
      <c r="D18" s="42" t="s">
        <v>10</v>
      </c>
      <c r="E18" s="42" t="s">
        <v>11</v>
      </c>
      <c r="F18" s="40">
        <v>65777220</v>
      </c>
      <c r="G18" s="41" t="s">
        <v>9</v>
      </c>
      <c r="H18" s="43">
        <v>35000</v>
      </c>
      <c r="I18" s="28"/>
    </row>
    <row r="19" ht="15.5" spans="1:9">
      <c r="A19" s="39"/>
      <c r="B19" s="40"/>
      <c r="C19" s="41"/>
      <c r="D19" s="42"/>
      <c r="E19" s="42"/>
      <c r="F19" s="40"/>
      <c r="G19" s="41"/>
      <c r="H19" s="43"/>
      <c r="I19" s="28"/>
    </row>
    <row r="20" ht="15.5" spans="1:9">
      <c r="A20" s="39"/>
      <c r="B20" s="40"/>
      <c r="C20" s="41"/>
      <c r="D20" s="42"/>
      <c r="E20" s="42"/>
      <c r="F20" s="44"/>
      <c r="G20" s="45"/>
      <c r="H20" s="43">
        <f>SUM(H12:H19)</f>
        <v>165820</v>
      </c>
      <c r="I20" s="28"/>
    </row>
    <row r="21" ht="15.5" spans="1:9">
      <c r="A21" s="39"/>
      <c r="B21" s="46"/>
      <c r="C21" s="41"/>
      <c r="D21" s="42"/>
      <c r="E21" s="42"/>
      <c r="F21" s="44"/>
      <c r="G21" s="45"/>
      <c r="H21" s="43"/>
      <c r="I21" s="28"/>
    </row>
    <row r="22" ht="15.5" spans="1:9">
      <c r="A22" s="39"/>
      <c r="B22" s="46"/>
      <c r="C22" s="41"/>
      <c r="D22" s="42"/>
      <c r="E22" s="42"/>
      <c r="F22" s="44"/>
      <c r="G22" s="45"/>
      <c r="H22" s="43">
        <f>+H10-H20</f>
        <v>1005059.55</v>
      </c>
      <c r="I22" s="28"/>
    </row>
    <row r="23" ht="15.5" spans="1:9">
      <c r="A23" s="39"/>
      <c r="B23" s="46"/>
      <c r="C23" s="41"/>
      <c r="D23" s="42"/>
      <c r="E23" s="47"/>
      <c r="F23" s="44"/>
      <c r="G23" s="41"/>
      <c r="H23" s="48"/>
      <c r="I23" s="28"/>
    </row>
  </sheetData>
  <mergeCells count="11">
    <mergeCell ref="A7:A8"/>
    <mergeCell ref="B7:B8"/>
    <mergeCell ref="C7:C8"/>
    <mergeCell ref="D7:D8"/>
    <mergeCell ref="E7:E8"/>
    <mergeCell ref="F7:F8"/>
    <mergeCell ref="G7:G8"/>
    <mergeCell ref="H7:H8"/>
    <mergeCell ref="A1:C4"/>
    <mergeCell ref="D1:I4"/>
    <mergeCell ref="A5:I6"/>
  </mergeCells>
  <pageMargins left="0.7" right="0.7" top="0.75" bottom="0.75" header="0.3" footer="0.3"/>
  <pageSetup paperSize="1" scale="48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2</xdr:col>
                    <xdr:colOff>123825</xdr:colOff>
                    <xdr:row>1</xdr:row>
                    <xdr:rowOff>28575</xdr:rowOff>
                  </from>
                  <to>
                    <xdr:col>2</xdr:col>
                    <xdr:colOff>1619250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tabSelected="1" zoomScale="85" zoomScaleNormal="85" topLeftCell="D1" workbookViewId="0">
      <selection activeCell="G14" sqref="G14"/>
    </sheetView>
  </sheetViews>
  <sheetFormatPr defaultColWidth="9.13636363636364" defaultRowHeight="14.5"/>
  <cols>
    <col min="1" max="1" width="12.2818181818182" customWidth="1"/>
    <col min="2" max="2" width="18.4272727272727" customWidth="1"/>
    <col min="3" max="3" width="27" customWidth="1"/>
    <col min="4" max="4" width="28.7090909090909" customWidth="1"/>
    <col min="5" max="5" width="62.7090909090909" customWidth="1"/>
    <col min="6" max="6" width="17" customWidth="1"/>
    <col min="7" max="7" width="57.8545454545455" customWidth="1"/>
    <col min="8" max="8" width="21.4272727272727" customWidth="1"/>
  </cols>
  <sheetData>
    <row r="1" spans="1:9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6"/>
    </row>
    <row r="2" spans="1:9">
      <c r="A2" s="7"/>
      <c r="B2" s="8"/>
      <c r="C2" s="9"/>
      <c r="D2" s="10"/>
      <c r="E2" s="11"/>
      <c r="F2" s="11"/>
      <c r="G2" s="11"/>
      <c r="H2" s="11"/>
      <c r="I2" s="12"/>
    </row>
    <row r="3" spans="1:9">
      <c r="A3" s="7"/>
      <c r="B3" s="8"/>
      <c r="C3" s="9"/>
      <c r="D3" s="10"/>
      <c r="E3" s="11"/>
      <c r="F3" s="11"/>
      <c r="G3" s="11"/>
      <c r="H3" s="11"/>
      <c r="I3" s="12"/>
    </row>
    <row r="4" spans="1:9">
      <c r="A4" s="13"/>
      <c r="B4" s="14"/>
      <c r="C4" s="15"/>
      <c r="D4" s="16"/>
      <c r="E4" s="17"/>
      <c r="F4" s="17"/>
      <c r="G4" s="17"/>
      <c r="H4" s="17"/>
      <c r="I4" s="18"/>
    </row>
    <row r="5" spans="1:9">
      <c r="A5" s="19"/>
      <c r="B5" s="20"/>
      <c r="C5" s="20"/>
      <c r="D5" s="20"/>
      <c r="E5" s="20"/>
      <c r="F5" s="20"/>
      <c r="G5" s="20"/>
      <c r="H5" s="20"/>
      <c r="I5" s="21"/>
    </row>
    <row r="6" spans="1:9">
      <c r="A6" s="22"/>
      <c r="B6" s="23"/>
      <c r="C6" s="23"/>
      <c r="D6" s="23"/>
      <c r="E6" s="23"/>
      <c r="F6" s="23"/>
      <c r="G6" s="23"/>
      <c r="H6" s="23"/>
      <c r="I6" s="24"/>
    </row>
    <row r="7" spans="1:9">
      <c r="A7" s="25" t="s">
        <v>2</v>
      </c>
      <c r="B7" s="26" t="s">
        <v>3</v>
      </c>
      <c r="C7" s="27" t="s">
        <v>4</v>
      </c>
      <c r="D7" s="26" t="s">
        <v>5</v>
      </c>
      <c r="E7" s="26" t="s">
        <v>6</v>
      </c>
      <c r="F7" s="26" t="s">
        <v>7</v>
      </c>
      <c r="G7" s="27" t="s">
        <v>8</v>
      </c>
      <c r="H7" s="27"/>
      <c r="I7" s="28"/>
    </row>
    <row r="8" spans="1:9">
      <c r="A8" s="29"/>
      <c r="B8" s="30"/>
      <c r="C8" s="31"/>
      <c r="D8" s="30"/>
      <c r="E8" s="30"/>
      <c r="F8" s="30"/>
      <c r="G8" s="31"/>
      <c r="H8" s="31"/>
      <c r="I8" s="28"/>
    </row>
    <row r="9" ht="15" spans="1:9">
      <c r="A9" s="32"/>
      <c r="B9" s="33"/>
      <c r="C9" s="32"/>
      <c r="D9" s="33"/>
      <c r="E9" s="32"/>
      <c r="F9" s="33"/>
      <c r="G9" s="32"/>
      <c r="H9" s="33"/>
      <c r="I9" s="28"/>
    </row>
    <row r="10" ht="15.5" spans="1:9">
      <c r="A10" s="32"/>
      <c r="B10" s="33"/>
      <c r="C10" s="34"/>
      <c r="D10" s="35"/>
      <c r="E10" s="35"/>
      <c r="F10" s="36"/>
      <c r="G10" s="37"/>
      <c r="H10" s="38">
        <f>'AGOSTO 9 2026'!H22</f>
        <v>1005059.55</v>
      </c>
      <c r="I10" s="28"/>
    </row>
    <row r="11" ht="15" spans="1:9">
      <c r="A11" s="37"/>
      <c r="B11" s="37"/>
      <c r="C11" s="37"/>
      <c r="D11" s="37"/>
      <c r="E11" s="37"/>
      <c r="F11" s="37"/>
      <c r="G11" s="37"/>
      <c r="H11" s="38"/>
      <c r="I11" s="28"/>
    </row>
    <row r="12" ht="15.5" spans="1:9">
      <c r="A12" s="39">
        <v>46243</v>
      </c>
      <c r="B12" s="40">
        <v>65777220</v>
      </c>
      <c r="C12" s="41" t="s">
        <v>9</v>
      </c>
      <c r="D12" s="42" t="s">
        <v>10</v>
      </c>
      <c r="E12" s="42" t="s">
        <v>11</v>
      </c>
      <c r="F12" s="40">
        <v>65777220</v>
      </c>
      <c r="G12" s="41" t="s">
        <v>9</v>
      </c>
      <c r="H12" s="43">
        <v>17000</v>
      </c>
      <c r="I12" s="28"/>
    </row>
    <row r="13" ht="15.5" spans="1:9">
      <c r="A13" s="39">
        <v>46243</v>
      </c>
      <c r="B13" s="40">
        <v>65777220</v>
      </c>
      <c r="C13" s="41" t="s">
        <v>9</v>
      </c>
      <c r="D13" s="42" t="s">
        <v>10</v>
      </c>
      <c r="E13" s="42" t="s">
        <v>11</v>
      </c>
      <c r="F13" s="40">
        <v>65777220</v>
      </c>
      <c r="G13" s="41" t="s">
        <v>9</v>
      </c>
      <c r="H13" s="43">
        <v>12000</v>
      </c>
      <c r="I13" s="28"/>
    </row>
    <row r="14" ht="15.5" spans="1:9">
      <c r="A14" s="39">
        <v>46243</v>
      </c>
      <c r="B14" s="40">
        <v>65777220</v>
      </c>
      <c r="C14" s="41" t="s">
        <v>9</v>
      </c>
      <c r="D14" s="42" t="s">
        <v>10</v>
      </c>
      <c r="E14" s="42" t="s">
        <v>11</v>
      </c>
      <c r="F14" s="40">
        <v>65777220</v>
      </c>
      <c r="G14" s="41" t="s">
        <v>9</v>
      </c>
      <c r="H14" s="43">
        <v>48000</v>
      </c>
      <c r="I14" s="28"/>
    </row>
    <row r="15" ht="15.5" spans="1:9">
      <c r="A15" s="39">
        <v>46243</v>
      </c>
      <c r="B15" s="40">
        <v>65777220</v>
      </c>
      <c r="C15" s="41" t="s">
        <v>9</v>
      </c>
      <c r="D15" s="42" t="s">
        <v>10</v>
      </c>
      <c r="E15" s="42" t="s">
        <v>11</v>
      </c>
      <c r="F15" s="40">
        <v>65777220</v>
      </c>
      <c r="G15" s="41" t="s">
        <v>9</v>
      </c>
      <c r="H15" s="43">
        <v>15120</v>
      </c>
      <c r="I15" s="28"/>
    </row>
    <row r="16" ht="15.5" spans="1:9">
      <c r="A16" s="39">
        <v>46243</v>
      </c>
      <c r="B16" s="40">
        <v>65777220</v>
      </c>
      <c r="C16" s="41" t="s">
        <v>9</v>
      </c>
      <c r="D16" s="42" t="s">
        <v>10</v>
      </c>
      <c r="E16" s="42" t="s">
        <v>11</v>
      </c>
      <c r="F16" s="40">
        <v>65777220</v>
      </c>
      <c r="G16" s="41" t="s">
        <v>9</v>
      </c>
      <c r="H16" s="43">
        <v>28700</v>
      </c>
      <c r="I16" s="28"/>
    </row>
    <row r="17" ht="15.5" spans="1:9">
      <c r="A17" s="39">
        <v>46243</v>
      </c>
      <c r="B17" s="40">
        <v>65777220</v>
      </c>
      <c r="C17" s="41" t="s">
        <v>9</v>
      </c>
      <c r="D17" s="42" t="s">
        <v>10</v>
      </c>
      <c r="E17" s="42" t="s">
        <v>11</v>
      </c>
      <c r="F17" s="40">
        <v>65777220</v>
      </c>
      <c r="G17" s="41" t="s">
        <v>9</v>
      </c>
      <c r="H17" s="43">
        <v>10000</v>
      </c>
      <c r="I17" s="28"/>
    </row>
    <row r="18" ht="15.5" spans="1:9">
      <c r="A18" s="39">
        <v>46243</v>
      </c>
      <c r="B18" s="40">
        <v>65737477</v>
      </c>
      <c r="C18" s="41" t="s">
        <v>9</v>
      </c>
      <c r="D18" s="42" t="s">
        <v>10</v>
      </c>
      <c r="E18" s="42" t="s">
        <v>11</v>
      </c>
      <c r="F18" s="40">
        <v>65777220</v>
      </c>
      <c r="G18" s="41" t="s">
        <v>9</v>
      </c>
      <c r="H18" s="43">
        <v>35000</v>
      </c>
      <c r="I18" s="28"/>
    </row>
    <row r="19" ht="15.5" spans="1:9">
      <c r="A19" s="39"/>
      <c r="B19" s="40"/>
      <c r="C19" s="41"/>
      <c r="D19" s="42"/>
      <c r="E19" s="42"/>
      <c r="F19" s="40"/>
      <c r="G19" s="41"/>
      <c r="H19" s="43"/>
      <c r="I19" s="28"/>
    </row>
    <row r="20" ht="15.5" spans="1:9">
      <c r="A20" s="39"/>
      <c r="B20" s="40"/>
      <c r="C20" s="41"/>
      <c r="D20" s="42"/>
      <c r="E20" s="42"/>
      <c r="F20" s="44"/>
      <c r="G20" s="45"/>
      <c r="H20" s="43">
        <f>SUM(H12:H19)</f>
        <v>165820</v>
      </c>
      <c r="I20" s="28"/>
    </row>
    <row r="21" ht="15.5" spans="1:9">
      <c r="A21" s="39"/>
      <c r="B21" s="46"/>
      <c r="C21" s="41"/>
      <c r="D21" s="42"/>
      <c r="E21" s="42"/>
      <c r="F21" s="44"/>
      <c r="G21" s="45"/>
      <c r="H21" s="43"/>
      <c r="I21" s="28"/>
    </row>
    <row r="22" ht="15.5" spans="1:9">
      <c r="A22" s="39"/>
      <c r="B22" s="46"/>
      <c r="C22" s="41"/>
      <c r="D22" s="42"/>
      <c r="E22" s="42"/>
      <c r="F22" s="44"/>
      <c r="G22" s="45"/>
      <c r="H22" s="43">
        <f>+H10-H20</f>
        <v>839239.55</v>
      </c>
      <c r="I22" s="28"/>
    </row>
    <row r="23" ht="15.5" spans="1:9">
      <c r="A23" s="39"/>
      <c r="B23" s="46"/>
      <c r="C23" s="41"/>
      <c r="D23" s="42"/>
      <c r="E23" s="47"/>
      <c r="F23" s="44"/>
      <c r="G23" s="41"/>
      <c r="H23" s="48"/>
      <c r="I23" s="28"/>
    </row>
  </sheetData>
  <mergeCells count="11">
    <mergeCell ref="A7:A8"/>
    <mergeCell ref="B7:B8"/>
    <mergeCell ref="C7:C8"/>
    <mergeCell ref="D7:D8"/>
    <mergeCell ref="E7:E8"/>
    <mergeCell ref="F7:F8"/>
    <mergeCell ref="G7:G8"/>
    <mergeCell ref="H7:H8"/>
    <mergeCell ref="A1:C4"/>
    <mergeCell ref="D1:I4"/>
    <mergeCell ref="A5:I6"/>
  </mergeCells>
  <pageMargins left="0.7" right="0.7" top="0.75" bottom="0.75" header="0.3" footer="0.3"/>
  <pageSetup paperSize="1" scale="48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Button 1" r:id="rId3">
              <controlPr print="0" defaultSize="0">
                <anchor moveWithCells="1" sizeWithCells="1">
                  <from>
                    <xdr:col>2</xdr:col>
                    <xdr:colOff>123825</xdr:colOff>
                    <xdr:row>1</xdr:row>
                    <xdr:rowOff>28575</xdr:rowOff>
                  </from>
                  <to>
                    <xdr:col>2</xdr:col>
                    <xdr:colOff>1619250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AGOSTO 9 2026</vt:lpstr>
      <vt:lpstr>AGOSTO 10 2026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smora</cp:lastModifiedBy>
  <dcterms:created xsi:type="dcterms:W3CDTF">2026-08-06T22:46:00Z</dcterms:created>
  <dcterms:modified xsi:type="dcterms:W3CDTF">2026-08-07T05:02:52Z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1F6B6896886D4F6B9E639328945B14CE_12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