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13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4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1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6.xml" ContentType="application/vnd.openxmlformats-officedocument.drawing+xml"/>
  <Override PartName="/xl/ctrlProps/ctrlProp31.xml" ContentType="application/vnd.ms-excel.controlproperties+xml"/>
  <Override PartName="/xl/drawings/drawing17.xml" ContentType="application/vnd.openxmlformats-officedocument.drawing+xml"/>
  <Override PartName="/xl/ctrlProps/ctrlProp32.xml" ContentType="application/vnd.ms-excel.controlproperties+xml"/>
  <Override PartName="/xl/drawings/drawing18.xml" ContentType="application/vnd.openxmlformats-officedocument.drawing+xml"/>
  <Override PartName="/xl/ctrlProps/ctrlProp33.xml" ContentType="application/vnd.ms-excel.controlproperties+xml"/>
  <Override PartName="/xl/drawings/drawing19.xml" ContentType="application/vnd.openxmlformats-officedocument.drawing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2AAA746-C42B-4162-844A-CE895899B94F}" xr6:coauthVersionLast="47" xr6:coauthVersionMax="47" xr10:uidLastSave="{00000000-0000-0000-0000-000000000000}"/>
  <bookViews>
    <workbookView xWindow="-120" yWindow="-120" windowWidth="24240" windowHeight="13020" firstSheet="13" activeTab="18" xr2:uid="{217A0BB4-47CB-447A-8C72-92425FE1624D}"/>
  </bookViews>
  <sheets>
    <sheet name="MAYO 02 2026" sheetId="1" r:id="rId1"/>
    <sheet name="MAYO 03 2026" sheetId="2" r:id="rId2"/>
    <sheet name="MAYO 05 2026" sheetId="3" r:id="rId3"/>
    <sheet name="MAYO 06 2026 " sheetId="4" r:id="rId4"/>
    <sheet name="MAYO 07 2026  " sheetId="5" r:id="rId5"/>
    <sheet name="MAYO 08 2026  " sheetId="6" r:id="rId6"/>
    <sheet name="MAYO 11 2026  " sheetId="9" r:id="rId7"/>
    <sheet name="MAYO 09 2026 " sheetId="8" r:id="rId8"/>
    <sheet name="MAYO 12 2026 " sheetId="10" r:id="rId9"/>
    <sheet name="MAYO 13 2026 " sheetId="12" r:id="rId10"/>
    <sheet name="MAYO 14 2026 " sheetId="13" r:id="rId11"/>
    <sheet name="MAYO 15 2026  " sheetId="14" r:id="rId12"/>
    <sheet name="MAYO 16 2026" sheetId="15" r:id="rId13"/>
    <sheet name="MAYO 19 2026 " sheetId="16" r:id="rId14"/>
    <sheet name="MAYO 20 2026  " sheetId="17" r:id="rId15"/>
    <sheet name="MAYO 21 2026" sheetId="18" r:id="rId16"/>
    <sheet name="MAYO 22 2026" sheetId="19" r:id="rId17"/>
    <sheet name="MAYO 23 2026" sheetId="20" r:id="rId18"/>
    <sheet name="MAYO 25 2026" sheetId="21" r:id="rId19"/>
  </sheets>
  <externalReferences>
    <externalReference r:id="rId20"/>
  </externalReferences>
  <definedNames>
    <definedName name="d">#REF!</definedName>
    <definedName name="DB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1" l="1"/>
  <c r="H20" i="21"/>
  <c r="H10" i="21"/>
  <c r="H23" i="20"/>
  <c r="H20" i="19"/>
  <c r="H18" i="18"/>
  <c r="H27" i="17"/>
  <c r="H25" i="16"/>
  <c r="H23" i="15"/>
  <c r="H23" i="14"/>
  <c r="H23" i="13"/>
  <c r="H23" i="12"/>
  <c r="H23" i="10"/>
  <c r="H23" i="9"/>
  <c r="H23" i="8"/>
  <c r="H23" i="6"/>
  <c r="H23" i="5"/>
  <c r="H23" i="4"/>
  <c r="H17" i="3" l="1"/>
  <c r="H28" i="2"/>
  <c r="H21" i="1" l="1"/>
  <c r="H10" i="1" l="1"/>
  <c r="H23" i="1" l="1"/>
  <c r="H10" i="2" s="1"/>
  <c r="H30" i="2" s="1"/>
  <c r="H10" i="3" s="1"/>
  <c r="H19" i="3" s="1"/>
  <c r="H10" i="4" s="1"/>
  <c r="H25" i="4" s="1"/>
  <c r="H10" i="5" s="1"/>
  <c r="H25" i="5" s="1"/>
  <c r="H10" i="6" s="1"/>
  <c r="H25" i="6" s="1"/>
  <c r="H10" i="8" s="1"/>
  <c r="H25" i="8" s="1"/>
  <c r="H10" i="9" s="1"/>
  <c r="H25" i="9" s="1"/>
  <c r="H10" i="10" s="1"/>
  <c r="H25" i="10" s="1"/>
  <c r="H10" i="12" s="1"/>
  <c r="H25" i="12" s="1"/>
  <c r="H10" i="13" s="1"/>
  <c r="H25" i="13" s="1"/>
  <c r="H10" i="14" s="1"/>
  <c r="H25" i="14" s="1"/>
  <c r="H10" i="15" s="1"/>
  <c r="H25" i="15" s="1"/>
  <c r="H10" i="16" s="1"/>
  <c r="H27" i="16" s="1"/>
  <c r="H10" i="17" s="1"/>
  <c r="H12" i="17" s="1"/>
  <c r="H29" i="17" s="1"/>
  <c r="H10" i="18" s="1"/>
  <c r="H20" i="18" s="1"/>
  <c r="H10" i="19" s="1"/>
  <c r="H22" i="19" s="1"/>
  <c r="H10" i="20" s="1"/>
  <c r="H25" i="20" s="1"/>
</calcChain>
</file>

<file path=xl/sharedStrings.xml><?xml version="1.0" encoding="utf-8"?>
<sst xmlns="http://schemas.openxmlformats.org/spreadsheetml/2006/main" count="1873" uniqueCount="302">
  <si>
    <t xml:space="preserve">CAJA MENOR </t>
  </si>
  <si>
    <t>FECHA</t>
  </si>
  <si>
    <t>CEDULA(NIT)</t>
  </si>
  <si>
    <t>NOMBRE</t>
  </si>
  <si>
    <t>FUNCIONARIO</t>
  </si>
  <si>
    <t>DESCRIPCIÓN O DETALLE</t>
  </si>
  <si>
    <t>NIT</t>
  </si>
  <si>
    <t>PROVEEDOR</t>
  </si>
  <si>
    <t xml:space="preserve">EDISON LEAL </t>
  </si>
  <si>
    <t>RECEPCION</t>
  </si>
  <si>
    <t>ALMUERZO SABADO</t>
  </si>
  <si>
    <t xml:space="preserve">TRANSPORTE JUGOS DE MAKRO A HORNEADOS Y LEON </t>
  </si>
  <si>
    <t xml:space="preserve"> TRANSPORTE PACAS DE AGUA BOTELLA INDEPORTE, PARQUE DEPORTIVO</t>
  </si>
  <si>
    <t>JAIRO ARIAS</t>
  </si>
  <si>
    <t>PRODUCCION</t>
  </si>
  <si>
    <t>COMPRA ESPONJA ETERNA</t>
  </si>
  <si>
    <t xml:space="preserve">SANDRA BONILLA </t>
  </si>
  <si>
    <t>CONTRATACION</t>
  </si>
  <si>
    <t>SANDRA GALLEGO</t>
  </si>
  <si>
    <t xml:space="preserve">COMPRA DE ACEITE EVENTO KIDS </t>
  </si>
  <si>
    <t>901768321-4</t>
  </si>
  <si>
    <t>ARCINIEGAS ASOCIADOS</t>
  </si>
  <si>
    <t>COMPRA MAIZ PIRA EVENTO KIDS</t>
  </si>
  <si>
    <t>MAKRO</t>
  </si>
  <si>
    <t>FABIAN PEREZ</t>
  </si>
  <si>
    <t>INGENIERO</t>
  </si>
  <si>
    <t>ENVIO ELECTRONICA/ CARLOS ANDRES TORRES SISTEMA</t>
  </si>
  <si>
    <t>EXXE LOGISTICA SAS</t>
  </si>
  <si>
    <t>WILIAN FELIPE</t>
  </si>
  <si>
    <t>PLANEACION</t>
  </si>
  <si>
    <t>MAGDA TAFUR</t>
  </si>
  <si>
    <t>COMPRAS</t>
  </si>
  <si>
    <t>DIEGO RADA</t>
  </si>
  <si>
    <t>MIRVEAN HERNANDEZ</t>
  </si>
  <si>
    <t xml:space="preserve">LOGISTICA </t>
  </si>
  <si>
    <t>HAROLD FERIAS</t>
  </si>
  <si>
    <t>MARIO GARCIA</t>
  </si>
  <si>
    <t>LOSGISTICA</t>
  </si>
  <si>
    <t>JOHAN GARZON</t>
  </si>
  <si>
    <t>AUXILIAR L.</t>
  </si>
  <si>
    <t>GIOUANNI HURTADO</t>
  </si>
  <si>
    <t>LOGISTICA</t>
  </si>
  <si>
    <t>YOJHAN RATIVA</t>
  </si>
  <si>
    <t>ERWN SANTIAGO</t>
  </si>
  <si>
    <t>JERSSON OROZCO</t>
  </si>
  <si>
    <t>SEBASTIAN GONGORA</t>
  </si>
  <si>
    <t>PLANIACION</t>
  </si>
  <si>
    <t>800185306-4</t>
  </si>
  <si>
    <t xml:space="preserve">ENVIA </t>
  </si>
  <si>
    <t>JIMY GUTIERREZ</t>
  </si>
  <si>
    <t>JUAN HORTA</t>
  </si>
  <si>
    <t xml:space="preserve">PRODUCCION </t>
  </si>
  <si>
    <t>900276962-1</t>
  </si>
  <si>
    <t>D1 SAS</t>
  </si>
  <si>
    <t>INTERRAPIDISOMO</t>
  </si>
  <si>
    <t>LAURA MARIN</t>
  </si>
  <si>
    <t>COMUNICADORA</t>
  </si>
  <si>
    <t>TAXI 2 EVENTO PALOMA</t>
  </si>
  <si>
    <t>TRANSPORTE LLEVADA ROBAEGALLO SEDE PALOMA (6000X2)</t>
  </si>
  <si>
    <t>TRANSPORTE MEDICADIZ LEON</t>
  </si>
  <si>
    <t xml:space="preserve">TRANSPORTE PANOPTICO 19 ABRIL </t>
  </si>
  <si>
    <t>CINTA GRIS KIDS</t>
  </si>
  <si>
    <t>ALMUERZO VIERNES KIDS</t>
  </si>
  <si>
    <t>TRANSPORTE FR MEDICADIZ- MEDICADIZ FR</t>
  </si>
  <si>
    <t>IMPRESIONES TEATRO KIDS</t>
  </si>
  <si>
    <t xml:space="preserve">SERVICIO MOVISTAR </t>
  </si>
  <si>
    <t>830122566-1</t>
  </si>
  <si>
    <t>TELECOMUNICACIONES ESP BIC</t>
  </si>
  <si>
    <t xml:space="preserve">COMPRA DE VARSOL GALON </t>
  </si>
  <si>
    <t>900931946-1</t>
  </si>
  <si>
    <t>COMERCIALIZADORA QUEN SAS</t>
  </si>
  <si>
    <t>CERA DE GEL GERENCIA</t>
  </si>
  <si>
    <t>19474458-2</t>
  </si>
  <si>
    <t xml:space="preserve">LECHE PAL PELO </t>
  </si>
  <si>
    <t>PARQUEADERO MENSAJERO</t>
  </si>
  <si>
    <t>AP 91579</t>
  </si>
  <si>
    <t>PARQUEADRO LA TERTULIA</t>
  </si>
  <si>
    <t xml:space="preserve">SERVICIO RESTAURANTE </t>
  </si>
  <si>
    <t>98488052-4</t>
  </si>
  <si>
    <t>PARRILLA SABOR COLOMBIANO</t>
  </si>
  <si>
    <t>ENVIO SOUND TRACK IMSTARTACIONES</t>
  </si>
  <si>
    <t xml:space="preserve"> </t>
  </si>
  <si>
    <t xml:space="preserve">TRANSPORTE RECOGER TROPEZON  CONFENALCO </t>
  </si>
  <si>
    <t>INSTACREM*144G EVENTO SECRETARIA DE LA MUJER</t>
  </si>
  <si>
    <t>ARCINIEGAS ASOCIADOS SP S.A.S</t>
  </si>
  <si>
    <t xml:space="preserve">DESAYUNO GOBERNACION </t>
  </si>
  <si>
    <t>901006707-4</t>
  </si>
  <si>
    <t>MORATA</t>
  </si>
  <si>
    <t>TOALLA DE COCINA REN PRODUCCION IN</t>
  </si>
  <si>
    <t>D1</t>
  </si>
  <si>
    <t>TRASNPORTE COMPREAS GERENCIA</t>
  </si>
  <si>
    <t>DOMICILIO CORTOLIMA</t>
  </si>
  <si>
    <t xml:space="preserve">MILOS ADMINISTRATIVOS </t>
  </si>
  <si>
    <t>RETIRO EFECTIVO</t>
  </si>
  <si>
    <t>MEDICAMENTO NATURAL GERENCIA</t>
  </si>
  <si>
    <t>65744437-4</t>
  </si>
  <si>
    <t>TIENDA NATURISTA FLOR DE LA SALUD</t>
  </si>
  <si>
    <t>MEDICAMENTO GERENCIA</t>
  </si>
  <si>
    <t>800149695-1</t>
  </si>
  <si>
    <t>CRUZVERDE+</t>
  </si>
  <si>
    <t>VENTILADOR CONTRATACION</t>
  </si>
  <si>
    <t>901936339-7</t>
  </si>
  <si>
    <t>FORTUNA ARISTI</t>
  </si>
  <si>
    <t>900206296-3</t>
  </si>
  <si>
    <t>PARQUEADERO EDIFICIO FONTAINEBLEAU</t>
  </si>
  <si>
    <t>PARQUEADERO CENTRO COMERCIAL MULTICENTRO</t>
  </si>
  <si>
    <t>EVENTO TALENTO KIDS</t>
  </si>
  <si>
    <t>901370428-3</t>
  </si>
  <si>
    <t>SUPERMERCADO MERCACENTRO</t>
  </si>
  <si>
    <t>TESORERIA  Y GOBERNACION</t>
  </si>
  <si>
    <t>TRANSPORTE MERCACENTRO</t>
  </si>
  <si>
    <t xml:space="preserve">TRANSPORTE PARQUE MURILLO LEON </t>
  </si>
  <si>
    <t>TRASNPORTE LLEVAR AGUA GOBERNACION</t>
  </si>
  <si>
    <t>DOMICILIO CARNAVAL DEL POLLO</t>
  </si>
  <si>
    <t>CAMBIO DE CREMALLERA MALETA NEGRA GRANDE</t>
  </si>
  <si>
    <t xml:space="preserve">COMPRA DE ALUMINIO GERENCIA </t>
  </si>
  <si>
    <t>901812925-0</t>
  </si>
  <si>
    <t xml:space="preserve">COMERCIALIZADORA A Y F </t>
  </si>
  <si>
    <t>ANGELA TRIVIÑO</t>
  </si>
  <si>
    <t>CONTABILIDAD</t>
  </si>
  <si>
    <t>CERTIFICADO DE CAMARA Y COMERCIO</t>
  </si>
  <si>
    <t>890700622-4</t>
  </si>
  <si>
    <t>CAMARA Y COMERCIO DE IBAGUE</t>
  </si>
  <si>
    <t xml:space="preserve">TRANSPORTE  AGUA VENECIA </t>
  </si>
  <si>
    <t>ENVIO PQT A ESPINAL</t>
  </si>
  <si>
    <t>14209150-7</t>
  </si>
  <si>
    <t>PARQUEADERO MAFEGILI</t>
  </si>
  <si>
    <t>71643223-3</t>
  </si>
  <si>
    <t>PARQUEADERO JAIMAR</t>
  </si>
  <si>
    <t>EVENTO UT</t>
  </si>
  <si>
    <t xml:space="preserve">SUPERMERCADO MERCACENTRO </t>
  </si>
  <si>
    <t>TRANSPORTE FUENTE REAL MEDICADIZ- MEDICADIZ FUENTE REAL</t>
  </si>
  <si>
    <t>TAXI  MEDICADIZ - LEON</t>
  </si>
  <si>
    <t>ALMUERZO ADMINISTRATIVA</t>
  </si>
  <si>
    <t>CARLOS CASTRO</t>
  </si>
  <si>
    <t>LOGISTICO</t>
  </si>
  <si>
    <t>TAXIS LOGISTICO</t>
  </si>
  <si>
    <t xml:space="preserve">TRANSPORTE </t>
  </si>
  <si>
    <t>RICARDO VASCO</t>
  </si>
  <si>
    <t>PRODUCCION IN</t>
  </si>
  <si>
    <t>TRANSPORTE COMPRA REPUESTO MONTA CARGA</t>
  </si>
  <si>
    <t>COMPRAS PLATINAS MONTA CARGA</t>
  </si>
  <si>
    <t>17052346-8</t>
  </si>
  <si>
    <t>DEPOSITO PINZON</t>
  </si>
  <si>
    <t>901153147-9</t>
  </si>
  <si>
    <t>COMPLEJO MEDICO LA SAMARIA</t>
  </si>
  <si>
    <t xml:space="preserve">ALMUERZO SABADO </t>
  </si>
  <si>
    <t xml:space="preserve">TRANSPORTE AGUAS PISTA MOTOCROSS </t>
  </si>
  <si>
    <t>COMPRA DE INSTACREM</t>
  </si>
  <si>
    <t xml:space="preserve">COMPRA DE MANZANAS REFRIJERIO </t>
  </si>
  <si>
    <t>901549003-8</t>
  </si>
  <si>
    <t xml:space="preserve">FRUVER LA GRANJA </t>
  </si>
  <si>
    <t>ERWIN SANTIAGO</t>
  </si>
  <si>
    <t>TRANSPORTE LOGISTICO</t>
  </si>
  <si>
    <t>DOMICILIO HORNEADOS</t>
  </si>
  <si>
    <t>REPUESTO PARA MONTA CARGUERO</t>
  </si>
  <si>
    <t xml:space="preserve">SERVICIO DE TRANSPORTE </t>
  </si>
  <si>
    <t>JOSE MANUEL NIÑO PINILL</t>
  </si>
  <si>
    <t>AZUCAR  CAFETERIA</t>
  </si>
  <si>
    <t>5/13/2026</t>
  </si>
  <si>
    <t>TRANSPORTE  EVENTO GOBERNACION</t>
  </si>
  <si>
    <t>REPUESTOS PARA PUERTA GERENCIA</t>
  </si>
  <si>
    <t>MANILLAS FESTIVAL FOLCLORICO</t>
  </si>
  <si>
    <t xml:space="preserve">INTER RAPIDISIMO </t>
  </si>
  <si>
    <t>COMPRA DE PLATOS LOGISTICA</t>
  </si>
  <si>
    <t>90181295-0</t>
  </si>
  <si>
    <t>COMERCIALIZADORA A Y F</t>
  </si>
  <si>
    <t xml:space="preserve">PARQUEADERO MENSAJERO </t>
  </si>
  <si>
    <t>901312036-2</t>
  </si>
  <si>
    <t xml:space="preserve">PARQUEADERO M-TREINTA </t>
  </si>
  <si>
    <t xml:space="preserve">CEPILLO PARA SANITARIO </t>
  </si>
  <si>
    <t>CL SI FA SI DI NA</t>
  </si>
  <si>
    <t>ARREGLO PERCOLADORA</t>
  </si>
  <si>
    <t>5/14/2026</t>
  </si>
  <si>
    <t>ENVIO PQT GIRARDOT</t>
  </si>
  <si>
    <t xml:space="preserve">ALMUERZO JUEVES </t>
  </si>
  <si>
    <t xml:space="preserve">TAXIS LEON - MEDICADIZ - MEDICADIZ - FUENTE REAL </t>
  </si>
  <si>
    <t xml:space="preserve">RICARDO VASCO </t>
  </si>
  <si>
    <t xml:space="preserve">TRANSPORTE COMPRAS MONTACARGA </t>
  </si>
  <si>
    <t>COMPRA DE LOZA LOGISTICA</t>
  </si>
  <si>
    <t xml:space="preserve">COMPLEJO MEDICO LA SAMARIA </t>
  </si>
  <si>
    <t>PILAS GERENCIA</t>
  </si>
  <si>
    <t xml:space="preserve">COMPRA REPUESTO PARA CARGUERO </t>
  </si>
  <si>
    <t xml:space="preserve">LA ESPAÑOLA </t>
  </si>
  <si>
    <t>5/15/2026</t>
  </si>
  <si>
    <t xml:space="preserve">JHON CARDENAS </t>
  </si>
  <si>
    <t xml:space="preserve">TRANSPORTE IGUAIMA </t>
  </si>
  <si>
    <t>ADRIANA NARVAEZ</t>
  </si>
  <si>
    <t>DIRECCION DE COSTOS</t>
  </si>
  <si>
    <t xml:space="preserve">ALMUERZO CON ALEJANDRO DE INDEPORTES </t>
  </si>
  <si>
    <t xml:space="preserve">TRANSPORTE LLEVAR VARIOS A LA GOBERNACION </t>
  </si>
  <si>
    <t xml:space="preserve">TRANSPORTE 9 CAJAS SYSCAFE </t>
  </si>
  <si>
    <t>PARQUEADERO LA TERTULIA</t>
  </si>
  <si>
    <t xml:space="preserve">COLADORES DE LA GRECA </t>
  </si>
  <si>
    <t xml:space="preserve">CARGADOR CELULAR RECEPCION </t>
  </si>
  <si>
    <t>72305756-1</t>
  </si>
  <si>
    <t xml:space="preserve">JORGE ARMANDO GARCIA </t>
  </si>
  <si>
    <t xml:space="preserve">PILAS AAA LOGISTICA </t>
  </si>
  <si>
    <t>1110469628-9</t>
  </si>
  <si>
    <t>AUTOSERVIR</t>
  </si>
  <si>
    <t xml:space="preserve">COMPRAS ESPONJAS LOGISTICA LAVAR BAÑOS </t>
  </si>
  <si>
    <t xml:space="preserve">RECIBO ALCANOS EDIFICIO LEON  </t>
  </si>
  <si>
    <t>891101577-4</t>
  </si>
  <si>
    <t xml:space="preserve">ALCANOS DE COLOMBIA </t>
  </si>
  <si>
    <t>5/16/2026</t>
  </si>
  <si>
    <t xml:space="preserve">LUISA GONZALES </t>
  </si>
  <si>
    <t xml:space="preserve">AUX. CONTABLE </t>
  </si>
  <si>
    <t>ALMUERZOS CONTABILIDAD</t>
  </si>
  <si>
    <t xml:space="preserve">LLEVAR CAJAS VASCONIA - AGENDAS </t>
  </si>
  <si>
    <t xml:space="preserve">MEDICAMENTO GERENCIA </t>
  </si>
  <si>
    <t>830011670-3</t>
  </si>
  <si>
    <t>COOPERATIVA MULTIACTIVA DE SERVICIOS</t>
  </si>
  <si>
    <t>5/19/2026</t>
  </si>
  <si>
    <t xml:space="preserve">TRANSPORTE MENSAJERO </t>
  </si>
  <si>
    <t xml:space="preserve">ALEXANDER VARGAS </t>
  </si>
  <si>
    <t>DOMICILIARIO</t>
  </si>
  <si>
    <t xml:space="preserve">DOMICILIO DON LAVADORAS </t>
  </si>
  <si>
    <t xml:space="preserve">TRANSPORTE DE AGENDAS PRODUCCION </t>
  </si>
  <si>
    <t xml:space="preserve">COMPRA PORTA LAPICEROS GERENCIA </t>
  </si>
  <si>
    <t>JEFERSON AVENDAÑO</t>
  </si>
  <si>
    <t>DOMICILIO DELIRIOS Y EL RODAMIENTO</t>
  </si>
  <si>
    <t>TRANSPORTE VARIOS: LLEVAR TROPEZONES</t>
  </si>
  <si>
    <t xml:space="preserve">JOSE MANUEL NIÑO PINILLA </t>
  </si>
  <si>
    <t>COMPRA TAMALES EVENTOS GOBERNACION</t>
  </si>
  <si>
    <t>TAMALES AUGUSTO</t>
  </si>
  <si>
    <t>COMPRA U.T</t>
  </si>
  <si>
    <t>900241288-2</t>
  </si>
  <si>
    <t xml:space="preserve">PAPELERIA LA COMUNA </t>
  </si>
  <si>
    <t xml:space="preserve">COMPRA PAN EVENTO GOBERNACION </t>
  </si>
  <si>
    <t>LA MORATA</t>
  </si>
  <si>
    <t xml:space="preserve">COMPRA EVENTO GOBERNACION </t>
  </si>
  <si>
    <t>830037946-3</t>
  </si>
  <si>
    <t>PANAMERICANA</t>
  </si>
  <si>
    <t xml:space="preserve">REINTEGRO DE CAJA MENOR </t>
  </si>
  <si>
    <t>5/20/2026</t>
  </si>
  <si>
    <t>PEDRO DUCUARA</t>
  </si>
  <si>
    <t>DOMICILIO U.T</t>
  </si>
  <si>
    <t>COMPRAS LONAS LOGISTICO</t>
  </si>
  <si>
    <t>65735576-1</t>
  </si>
  <si>
    <t xml:space="preserve">PLASTICOS LEYLA </t>
  </si>
  <si>
    <t xml:space="preserve">COMPRA SOUND TRACK IMPORTADOS </t>
  </si>
  <si>
    <t>GABRIEL GOMEZ</t>
  </si>
  <si>
    <t xml:space="preserve">LOGISTICO </t>
  </si>
  <si>
    <t>COMPRA BROCA LOGISTICA</t>
  </si>
  <si>
    <t>14236816-8</t>
  </si>
  <si>
    <t>FERRETERIA LAYA</t>
  </si>
  <si>
    <t xml:space="preserve">COMPRA TORNILLERIA VARIADA LOGISTICA </t>
  </si>
  <si>
    <t>901953761-4</t>
  </si>
  <si>
    <t>SERVIRODRIGUEZ FERRETERIA</t>
  </si>
  <si>
    <t xml:space="preserve">COMPRA COLADOR PARA GRECA CAFETERIA LEON </t>
  </si>
  <si>
    <t>55151131-4</t>
  </si>
  <si>
    <t xml:space="preserve">TODO RESPUESTOS DEL TOLIMA </t>
  </si>
  <si>
    <t>ENVIO HASH TICKET SA</t>
  </si>
  <si>
    <t>SOBRE BOND LORD 75GR</t>
  </si>
  <si>
    <t>PAPELERIA LA COMUNA</t>
  </si>
  <si>
    <t>19494727-4</t>
  </si>
  <si>
    <t>PARQUEADERO VARSOVIA</t>
  </si>
  <si>
    <t>PARQUEADERO M-TREINTA</t>
  </si>
  <si>
    <t>COMPRA DE CALCULADORA</t>
  </si>
  <si>
    <t>TAXI RIO BLANCO</t>
  </si>
  <si>
    <t>DOMICILIO JUSSOS</t>
  </si>
  <si>
    <t>TRANSPORTE LOGISTICA</t>
  </si>
  <si>
    <t>TRANSPORTE MERCACENTRO EL POBLADO</t>
  </si>
  <si>
    <t>TAXI MEDICADIZ LEON</t>
  </si>
  <si>
    <t>TAXI MEDICADIZ FUENTE REAL</t>
  </si>
  <si>
    <t>DOMICILIO 23 CON 6 A LEON PLANTA ELECTRICA</t>
  </si>
  <si>
    <t>COMPRA FRUTA GERENCIA</t>
  </si>
  <si>
    <t>901836157-4</t>
  </si>
  <si>
    <t>DISTRIBUIDURA RAPRI</t>
  </si>
  <si>
    <t>COMPRA TARRO BOLIGRAFO GERENCIA</t>
  </si>
  <si>
    <t>TAXI VARIOS EVENTOS</t>
  </si>
  <si>
    <t xml:space="preserve">ALMUERZO 22 DE MAYO </t>
  </si>
  <si>
    <t>TAXI C.C. LA ESTACION</t>
  </si>
  <si>
    <t>ALMUERZO Y DESAYUNO MIRVEAN , GERENCIA</t>
  </si>
  <si>
    <t>COMPRA DE PECES  CABOMBA</t>
  </si>
  <si>
    <t>EL SAZON DE MARMEN</t>
  </si>
  <si>
    <t>5829503-0</t>
  </si>
  <si>
    <t xml:space="preserve">AMAZONAS </t>
  </si>
  <si>
    <t>84089344-7</t>
  </si>
  <si>
    <t>JHESVIER DE JESUS PEÑARANDA SPORCKEL</t>
  </si>
  <si>
    <t xml:space="preserve">COMPRA CELULAR DE JHON CARDENAS </t>
  </si>
  <si>
    <t>COMPRA DE SIM</t>
  </si>
  <si>
    <t>EVENTO DIPLOMADO UT: INSTACREM Y BOLSAS</t>
  </si>
  <si>
    <t>COMPRA  DE ROLLO DE HELADO REUNION FOLCLOR</t>
  </si>
  <si>
    <t>900480569-1</t>
  </si>
  <si>
    <t>TIENDA ARA</t>
  </si>
  <si>
    <t>COMPRA PAÑITOS DAY COL EVENTO FULAN</t>
  </si>
  <si>
    <t>1128470955-1</t>
  </si>
  <si>
    <t>EL GANGAZO DE IBAGUE</t>
  </si>
  <si>
    <t>COMPRA SATIN RIGIDO EVENTO FULAN</t>
  </si>
  <si>
    <t>93374325-1</t>
  </si>
  <si>
    <t>ALMACEN EXITELAS</t>
  </si>
  <si>
    <t>COMPRA FAYA TRICOLOR 24MM EVENTO FULAN</t>
  </si>
  <si>
    <t xml:space="preserve">SANDRA MILENA RAMIREZ </t>
  </si>
  <si>
    <t>65773968-7</t>
  </si>
  <si>
    <t>70504735-3</t>
  </si>
  <si>
    <t>DISTRIBUIDORA EL IMPERIO</t>
  </si>
  <si>
    <t>COMPRA GEL ANTIBACTERIAL</t>
  </si>
  <si>
    <t xml:space="preserve">BASE LICUADORA UNIVERSAL ORIGINAL </t>
  </si>
  <si>
    <t>1110530628-9</t>
  </si>
  <si>
    <t>EL PALACIO DE LA LICUADORA Y VENTILADORES</t>
  </si>
  <si>
    <t>COMPRA SUNDARK ADULTOS CAJA EVENTO FULAN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</si>
</sst>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2"/>
      <color theme="1"/>
      <name val="Tahoma"/>
      <family val="2"/>
    </font>
    <font>
      <b/>
      <sz val="28"/>
      <color theme="1"/>
      <name val="Tahoma"/>
      <family val="2"/>
    </font>
    <font>
      <b/>
      <sz val="12"/>
      <color theme="1"/>
      <name val="Tahoma"/>
      <family val="2"/>
    </font>
    <font>
      <b/>
      <i/>
      <sz val="12"/>
      <color theme="1"/>
      <name val="Tahom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5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0" xfId="0" applyBorder="1"/>
    <xf numFmtId="14" fontId="5" fillId="0" borderId="10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3" fontId="5" fillId="0" borderId="10" xfId="1" applyNumberFormat="1" applyFont="1" applyBorder="1" applyAlignment="1">
      <alignment horizontal="center" vertical="center"/>
    </xf>
    <xf numFmtId="4" fontId="5" fillId="0" borderId="10" xfId="1" applyNumberFormat="1" applyFont="1" applyBorder="1" applyAlignment="1">
      <alignment horizontal="center" vertical="center"/>
    </xf>
    <xf numFmtId="4" fontId="7" fillId="2" borderId="10" xfId="1" applyNumberFormat="1" applyFont="1" applyFill="1" applyBorder="1" applyAlignment="1">
      <alignment horizontal="center" vertical="center" wrapText="1"/>
    </xf>
    <xf numFmtId="14" fontId="5" fillId="2" borderId="10" xfId="1" applyNumberFormat="1" applyFont="1" applyFill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/>
    </xf>
    <xf numFmtId="14" fontId="3" fillId="2" borderId="10" xfId="1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3" fontId="8" fillId="6" borderId="10" xfId="1" applyNumberFormat="1" applyFont="1" applyFill="1" applyBorder="1" applyAlignment="1">
      <alignment horizontal="center" vertical="center"/>
    </xf>
    <xf numFmtId="4" fontId="8" fillId="0" borderId="10" xfId="1" applyNumberFormat="1" applyFont="1" applyBorder="1" applyAlignment="1">
      <alignment horizontal="center" vertical="center"/>
    </xf>
    <xf numFmtId="165" fontId="8" fillId="2" borderId="10" xfId="2" applyFont="1" applyFill="1" applyBorder="1" applyAlignment="1">
      <alignment horizontal="center" vertical="center"/>
    </xf>
    <xf numFmtId="49" fontId="8" fillId="5" borderId="10" xfId="1" applyNumberFormat="1" applyFont="1" applyFill="1" applyBorder="1" applyAlignment="1">
      <alignment horizontal="center" vertical="center"/>
    </xf>
    <xf numFmtId="3" fontId="8" fillId="6" borderId="10" xfId="1" applyNumberFormat="1" applyFont="1" applyFill="1" applyBorder="1" applyAlignment="1">
      <alignment horizontal="center" vertical="center" wrapText="1"/>
    </xf>
    <xf numFmtId="3" fontId="3" fillId="5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165" fontId="8" fillId="0" borderId="10" xfId="2" applyFont="1" applyBorder="1" applyAlignment="1">
      <alignment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center" vertical="center"/>
    </xf>
    <xf numFmtId="49" fontId="5" fillId="3" borderId="3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/>
    </xf>
    <xf numFmtId="49" fontId="5" fillId="3" borderId="7" xfId="1" applyNumberFormat="1" applyFont="1" applyFill="1" applyBorder="1" applyAlignment="1">
      <alignment horizontal="center" vertical="center"/>
    </xf>
    <xf numFmtId="49" fontId="5" fillId="3" borderId="8" xfId="1" applyNumberFormat="1" applyFont="1" applyFill="1" applyBorder="1" applyAlignment="1">
      <alignment horizontal="center" vertical="center"/>
    </xf>
    <xf numFmtId="14" fontId="6" fillId="4" borderId="9" xfId="1" applyNumberFormat="1" applyFont="1" applyFill="1" applyBorder="1" applyAlignment="1">
      <alignment horizontal="center" vertical="center"/>
    </xf>
    <xf numFmtId="14" fontId="6" fillId="4" borderId="11" xfId="1" applyNumberFormat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</cellXfs>
  <cellStyles count="3">
    <cellStyle name="Moneda 2" xfId="2" xr:uid="{0A6D20A5-CFAD-4EE3-83F6-A9300182CC3E}"/>
    <cellStyle name="Normal" xfId="0" builtinId="0"/>
    <cellStyle name="Normal 2" xfId="1" xr:uid="{3988C5E5-29DC-4808-8D49-3119B461B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8673" name="Button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6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8674" name="Button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6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7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7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36865" name="Button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8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36866" name="Button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08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47105" name="Button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09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47106" name="Button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09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57345" name="Button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A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57346" name="Button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A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68609" name="Button 1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B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68610" name="Button 2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B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80897" name="Button 1" hidden="1">
              <a:extLst>
                <a:ext uri="{63B3BB69-23CF-44E3-9099-C40C66FF867C}">
                  <a14:compatExt spid="_x0000_s80897"/>
                </a:ext>
                <a:ext uri="{FF2B5EF4-FFF2-40B4-BE49-F238E27FC236}">
                  <a16:creationId xmlns:a16="http://schemas.microsoft.com/office/drawing/2014/main" id="{00000000-0008-0000-0C00-00000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80898" name="Button 2" hidden="1">
              <a:extLst>
                <a:ext uri="{63B3BB69-23CF-44E3-9099-C40C66FF867C}">
                  <a14:compatExt spid="_x0000_s80898"/>
                </a:ext>
                <a:ext uri="{FF2B5EF4-FFF2-40B4-BE49-F238E27FC236}">
                  <a16:creationId xmlns:a16="http://schemas.microsoft.com/office/drawing/2014/main" id="{00000000-0008-0000-0C00-00000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94209" name="Button 1" hidden="1">
              <a:extLst>
                <a:ext uri="{63B3BB69-23CF-44E3-9099-C40C66FF867C}">
                  <a14:compatExt spid="_x0000_s94209"/>
                </a:ext>
                <a:ext uri="{FF2B5EF4-FFF2-40B4-BE49-F238E27FC236}">
                  <a16:creationId xmlns:a16="http://schemas.microsoft.com/office/drawing/2014/main" id="{00000000-0008-0000-0D00-000001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94210" name="Button 2" hidden="1">
              <a:extLst>
                <a:ext uri="{63B3BB69-23CF-44E3-9099-C40C66FF867C}">
                  <a14:compatExt spid="_x0000_s94210"/>
                </a:ext>
                <a:ext uri="{FF2B5EF4-FFF2-40B4-BE49-F238E27FC236}">
                  <a16:creationId xmlns:a16="http://schemas.microsoft.com/office/drawing/2014/main" id="{00000000-0008-0000-0D00-000002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08545" name="Button 1" hidden="1">
              <a:extLst>
                <a:ext uri="{63B3BB69-23CF-44E3-9099-C40C66FF867C}">
                  <a14:compatExt spid="_x0000_s108545"/>
                </a:ext>
                <a:ext uri="{FF2B5EF4-FFF2-40B4-BE49-F238E27FC236}">
                  <a16:creationId xmlns:a16="http://schemas.microsoft.com/office/drawing/2014/main" id="{00000000-0008-0000-0E00-00000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0</xdr:row>
          <xdr:rowOff>180975</xdr:rowOff>
        </xdr:from>
        <xdr:to>
          <xdr:col>2</xdr:col>
          <xdr:colOff>1609725</xdr:colOff>
          <xdr:row>3</xdr:row>
          <xdr:rowOff>9525</xdr:rowOff>
        </xdr:to>
        <xdr:sp macro="" textlink="">
          <xdr:nvSpPr>
            <xdr:cNvPr id="108546" name="Button 2" hidden="1">
              <a:extLst>
                <a:ext uri="{63B3BB69-23CF-44E3-9099-C40C66FF867C}">
                  <a14:compatExt spid="_x0000_s108546"/>
                </a:ext>
                <a:ext uri="{FF2B5EF4-FFF2-40B4-BE49-F238E27FC236}">
                  <a16:creationId xmlns:a16="http://schemas.microsoft.com/office/drawing/2014/main" id="{00000000-0008-0000-0E00-000002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 macro="" textlink="">
          <xdr:nvSpPr>
            <xdr:cNvPr id="109569" name="Button 1" hidden="1">
              <a:extLst>
                <a:ext uri="{63B3BB69-23CF-44E3-9099-C40C66FF867C}">
                  <a14:compatExt spid="_x0000_s109569"/>
                </a:ext>
                <a:ext uri="{FF2B5EF4-FFF2-40B4-BE49-F238E27FC236}">
                  <a16:creationId xmlns:a16="http://schemas.microsoft.com/office/drawing/2014/main" id="{00000000-0008-0000-0F00-000001A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 macro="" textlink="">
          <xdr:nvSpPr>
            <xdr:cNvPr id="110593" name="Button 1" hidden="1">
              <a:extLst>
                <a:ext uri="{63B3BB69-23CF-44E3-9099-C40C66FF867C}">
                  <a14:compatExt spid="_x0000_s110593"/>
                </a:ext>
                <a:ext uri="{FF2B5EF4-FFF2-40B4-BE49-F238E27FC236}">
                  <a16:creationId xmlns:a16="http://schemas.microsoft.com/office/drawing/2014/main" id="{00000000-0008-0000-1000-000001B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 macro="" textlink="">
          <xdr:nvSpPr>
            <xdr:cNvPr id="128001" name="Button 1" hidden="1">
              <a:extLst>
                <a:ext uri="{63B3BB69-23CF-44E3-9099-C40C66FF867C}">
                  <a14:compatExt spid="_x0000_s128001"/>
                </a:ext>
                <a:ext uri="{FF2B5EF4-FFF2-40B4-BE49-F238E27FC236}">
                  <a16:creationId xmlns:a16="http://schemas.microsoft.com/office/drawing/2014/main" id="{00000000-0008-0000-1100-000001F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 macro="" textlink="">
          <xdr:nvSpPr>
            <xdr:cNvPr id="146433" name="Button 1" hidden="1">
              <a:extLst>
                <a:ext uri="{63B3BB69-23CF-44E3-9099-C40C66FF867C}">
                  <a14:compatExt spid="_x0000_s146433"/>
                </a:ext>
                <a:ext uri="{FF2B5EF4-FFF2-40B4-BE49-F238E27FC236}">
                  <a16:creationId xmlns:a16="http://schemas.microsoft.com/office/drawing/2014/main" id="{6D2F3F9B-17C2-4F8F-9A79-E063DF355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AGREGAR TERCERO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AJA%20MENOR%2001%20-%2030%20ABRIL%202026.xlsx" TargetMode="External"/><Relationship Id="rId1" Type="http://schemas.openxmlformats.org/officeDocument/2006/relationships/externalLinkPath" Target="CAJA%20MENOR%2001%20-%2030%20ABRI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RIL 01 2026"/>
      <sheetName val="ABRIL 06 2026"/>
      <sheetName val="ABRIL 07 2026 "/>
      <sheetName val="ABRIL 08 2026 "/>
      <sheetName val="ABRIL 09 2026 "/>
      <sheetName val="ABRIL 10 2026 "/>
      <sheetName val="ABRIL 11 2026"/>
      <sheetName val="ABRIL 13 2026"/>
      <sheetName val="ABRIL 14 2026"/>
      <sheetName val="ABRIL 15 2026"/>
      <sheetName val="ABRIL 16 2026"/>
      <sheetName val="ABRIL 17 2026"/>
      <sheetName val="ABRIL 18 2026"/>
      <sheetName val="ABRIL 20 2026"/>
      <sheetName val="ABRIL 21 2026 "/>
      <sheetName val="ABRIL 22 2026 "/>
      <sheetName val="ABRIL 23 2026"/>
      <sheetName val="ABRIL 24 2026"/>
      <sheetName val="ABRIL 25 2026"/>
      <sheetName val="ABRIL 27 2026"/>
      <sheetName val="ABRIL 28 2026"/>
      <sheetName val="ABRIL 29 2026"/>
      <sheetName val="ABRIL 30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2">
          <cell r="H22">
            <v>-943606.44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3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3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D24-B5A9-4652-B398-42733584159F}">
  <sheetPr>
    <pageSetUpPr fitToPage="1"/>
  </sheetPr>
  <dimension ref="A1:I50"/>
  <sheetViews>
    <sheetView topLeftCell="A7" zoomScale="85" zoomScaleNormal="85" workbookViewId="0">
      <selection activeCell="H16" sqref="H16"/>
    </sheetView>
  </sheetViews>
  <sheetFormatPr baseColWidth="10" defaultColWidth="18.140625" defaultRowHeight="15.75" customHeight="1" x14ac:dyDescent="0.25"/>
  <cols>
    <col min="1" max="1" width="10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88" bestFit="1" customWidth="1"/>
    <col min="6" max="6" width="15.42578125" bestFit="1" customWidth="1"/>
    <col min="7" max="7" width="29.7109375" bestFit="1" customWidth="1"/>
    <col min="8" max="8" width="19.28515625" bestFit="1" customWidth="1"/>
  </cols>
  <sheetData>
    <row r="1" spans="1:9" ht="15.75" customHeight="1" x14ac:dyDescent="0.25">
      <c r="A1" s="21"/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'[1]ABRIL 30 2026'!$H$22</f>
        <v>-943606.44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46058</v>
      </c>
      <c r="B12" s="10">
        <v>13239826</v>
      </c>
      <c r="C12" s="11" t="s">
        <v>8</v>
      </c>
      <c r="D12" s="12" t="s">
        <v>9</v>
      </c>
      <c r="E12" s="12" t="s">
        <v>10</v>
      </c>
      <c r="F12" s="10">
        <v>13239826</v>
      </c>
      <c r="G12" s="11" t="s">
        <v>8</v>
      </c>
      <c r="H12" s="13">
        <v>14000</v>
      </c>
      <c r="I12" s="1"/>
    </row>
    <row r="13" spans="1:9" ht="15.75" customHeight="1" x14ac:dyDescent="0.25">
      <c r="A13" s="9">
        <v>46058</v>
      </c>
      <c r="B13" s="10">
        <v>13239826</v>
      </c>
      <c r="C13" s="11" t="s">
        <v>8</v>
      </c>
      <c r="D13" s="12" t="s">
        <v>9</v>
      </c>
      <c r="E13" s="12" t="s">
        <v>11</v>
      </c>
      <c r="F13" s="10">
        <v>13239826</v>
      </c>
      <c r="G13" s="11" t="s">
        <v>8</v>
      </c>
      <c r="H13" s="13">
        <v>24000</v>
      </c>
      <c r="I13" s="1"/>
    </row>
    <row r="14" spans="1:9" ht="15.75" customHeight="1" x14ac:dyDescent="0.25">
      <c r="A14" s="9">
        <v>46058</v>
      </c>
      <c r="B14" s="10">
        <v>13239826</v>
      </c>
      <c r="C14" s="11" t="s">
        <v>8</v>
      </c>
      <c r="D14" s="12" t="s">
        <v>9</v>
      </c>
      <c r="E14" s="12" t="s">
        <v>12</v>
      </c>
      <c r="F14" s="10">
        <v>13239826</v>
      </c>
      <c r="G14" s="11" t="s">
        <v>8</v>
      </c>
      <c r="H14" s="13">
        <v>24000</v>
      </c>
      <c r="I14" s="1"/>
    </row>
    <row r="15" spans="1:9" ht="15.75" customHeight="1" x14ac:dyDescent="0.25">
      <c r="A15" s="9">
        <v>46058</v>
      </c>
      <c r="B15" s="10">
        <v>14236999</v>
      </c>
      <c r="C15" s="11" t="s">
        <v>13</v>
      </c>
      <c r="D15" s="12" t="s">
        <v>14</v>
      </c>
      <c r="E15" s="12" t="s">
        <v>15</v>
      </c>
      <c r="F15" s="10">
        <v>14236999</v>
      </c>
      <c r="G15" s="11" t="s">
        <v>13</v>
      </c>
      <c r="H15" s="13">
        <v>3600</v>
      </c>
      <c r="I15" s="1"/>
    </row>
    <row r="16" spans="1:9" ht="15.75" customHeight="1" x14ac:dyDescent="0.25">
      <c r="A16" s="9">
        <v>46058</v>
      </c>
      <c r="B16" s="10">
        <v>65762110</v>
      </c>
      <c r="C16" s="11" t="s">
        <v>16</v>
      </c>
      <c r="D16" s="12" t="s">
        <v>17</v>
      </c>
      <c r="E16" s="12" t="s">
        <v>10</v>
      </c>
      <c r="F16" s="10">
        <v>65762110</v>
      </c>
      <c r="G16" s="11" t="s">
        <v>16</v>
      </c>
      <c r="H16" s="13">
        <v>14000</v>
      </c>
      <c r="I16" s="1"/>
    </row>
    <row r="17" spans="1:9" ht="15.75" customHeight="1" x14ac:dyDescent="0.25">
      <c r="A17" s="9">
        <v>46058</v>
      </c>
      <c r="B17" s="10">
        <v>65737477</v>
      </c>
      <c r="C17" s="11" t="s">
        <v>18</v>
      </c>
      <c r="D17" s="12" t="s">
        <v>9</v>
      </c>
      <c r="E17" s="12" t="s">
        <v>19</v>
      </c>
      <c r="F17" s="10" t="s">
        <v>20</v>
      </c>
      <c r="G17" s="11" t="s">
        <v>21</v>
      </c>
      <c r="H17" s="13">
        <v>20000</v>
      </c>
      <c r="I17" s="1"/>
    </row>
    <row r="18" spans="1:9" ht="15.75" customHeight="1" x14ac:dyDescent="0.25">
      <c r="A18" s="9">
        <v>46058</v>
      </c>
      <c r="B18" s="10">
        <v>65737477</v>
      </c>
      <c r="C18" s="11" t="s">
        <v>18</v>
      </c>
      <c r="D18" s="12" t="s">
        <v>9</v>
      </c>
      <c r="E18" s="12" t="s">
        <v>22</v>
      </c>
      <c r="F18" s="10">
        <v>9000592385</v>
      </c>
      <c r="G18" s="11" t="s">
        <v>23</v>
      </c>
      <c r="H18" s="13">
        <v>13200</v>
      </c>
      <c r="I18" s="1"/>
    </row>
    <row r="19" spans="1:9" ht="15.75" customHeight="1" x14ac:dyDescent="0.25">
      <c r="A19" s="9">
        <v>46058</v>
      </c>
      <c r="B19" s="10">
        <v>1110511708</v>
      </c>
      <c r="C19" s="11" t="s">
        <v>24</v>
      </c>
      <c r="D19" s="12" t="s">
        <v>25</v>
      </c>
      <c r="E19" s="12" t="s">
        <v>26</v>
      </c>
      <c r="F19" s="10">
        <v>8300514407</v>
      </c>
      <c r="G19" s="11" t="s">
        <v>27</v>
      </c>
      <c r="H19" s="13">
        <v>24668</v>
      </c>
      <c r="I19" s="1"/>
    </row>
    <row r="20" spans="1:9" ht="15.75" customHeight="1" x14ac:dyDescent="0.25">
      <c r="A20" s="9"/>
      <c r="B20" s="10"/>
      <c r="C20" s="11"/>
      <c r="D20" s="12"/>
      <c r="E20" s="12"/>
      <c r="F20" s="10"/>
      <c r="G20" s="11"/>
      <c r="H20" s="13"/>
      <c r="I20" s="1"/>
    </row>
    <row r="21" spans="1:9" ht="15.75" customHeight="1" x14ac:dyDescent="0.25">
      <c r="A21" s="9"/>
      <c r="B21" s="10"/>
      <c r="C21" s="11"/>
      <c r="D21" s="12"/>
      <c r="E21" s="12"/>
      <c r="F21" s="14"/>
      <c r="G21" s="15"/>
      <c r="H21" s="13">
        <f>SUM(H12:H19)</f>
        <v>137468</v>
      </c>
      <c r="I21" s="1"/>
    </row>
    <row r="22" spans="1:9" ht="15.75" customHeight="1" x14ac:dyDescent="0.25">
      <c r="A22" s="9"/>
      <c r="B22" s="16"/>
      <c r="C22" s="11"/>
      <c r="D22" s="12"/>
      <c r="E22" s="12"/>
      <c r="F22" s="14"/>
      <c r="G22" s="15"/>
      <c r="H22" s="13"/>
      <c r="I22" s="1"/>
    </row>
    <row r="23" spans="1:9" ht="15.75" customHeight="1" x14ac:dyDescent="0.25">
      <c r="A23" s="9"/>
      <c r="B23" s="16"/>
      <c r="C23" s="11"/>
      <c r="D23" s="12"/>
      <c r="E23" s="12"/>
      <c r="F23" s="14"/>
      <c r="G23" s="15"/>
      <c r="H23" s="13">
        <f>H10-H21</f>
        <v>-1081074.44</v>
      </c>
      <c r="I23" s="1"/>
    </row>
    <row r="24" spans="1:9" ht="15.75" customHeight="1" x14ac:dyDescent="0.25">
      <c r="A24" s="9"/>
      <c r="B24" s="16"/>
      <c r="C24" s="11"/>
      <c r="D24" s="12"/>
      <c r="E24" s="17"/>
      <c r="F24" s="14"/>
      <c r="G24" s="11"/>
      <c r="H24" s="18"/>
      <c r="I24" s="1"/>
    </row>
    <row r="26" spans="1:9" ht="15.75" customHeight="1" x14ac:dyDescent="0.25">
      <c r="B26" s="10">
        <v>110580597</v>
      </c>
      <c r="C26" s="11" t="s">
        <v>28</v>
      </c>
      <c r="D26" s="12" t="s">
        <v>29</v>
      </c>
    </row>
    <row r="27" spans="1:9" ht="15.75" customHeight="1" x14ac:dyDescent="0.25">
      <c r="B27" s="10">
        <v>65777220</v>
      </c>
      <c r="C27" s="11" t="s">
        <v>30</v>
      </c>
      <c r="D27" s="12" t="s">
        <v>31</v>
      </c>
    </row>
    <row r="28" spans="1:9" ht="15.75" customHeight="1" x14ac:dyDescent="0.25">
      <c r="B28" s="10">
        <v>65737477</v>
      </c>
      <c r="C28" s="11" t="s">
        <v>18</v>
      </c>
      <c r="D28" s="12" t="s">
        <v>9</v>
      </c>
    </row>
    <row r="29" spans="1:9" ht="15.75" customHeight="1" x14ac:dyDescent="0.25">
      <c r="B29" s="10">
        <v>14106438</v>
      </c>
      <c r="C29" s="11" t="s">
        <v>32</v>
      </c>
      <c r="D29" s="12" t="s">
        <v>17</v>
      </c>
    </row>
    <row r="30" spans="1:9" ht="15.75" customHeight="1" x14ac:dyDescent="0.25">
      <c r="B30" s="10">
        <v>5939109</v>
      </c>
      <c r="C30" s="11" t="s">
        <v>33</v>
      </c>
      <c r="D30" s="12" t="s">
        <v>34</v>
      </c>
    </row>
    <row r="31" spans="1:9" ht="15.75" customHeight="1" x14ac:dyDescent="0.25">
      <c r="B31" s="10">
        <v>13239826</v>
      </c>
      <c r="C31" s="11" t="s">
        <v>8</v>
      </c>
      <c r="D31" s="12" t="s">
        <v>9</v>
      </c>
    </row>
    <row r="32" spans="1:9" ht="15.75" customHeight="1" x14ac:dyDescent="0.25">
      <c r="B32" s="10">
        <v>65762110</v>
      </c>
      <c r="C32" s="11" t="s">
        <v>16</v>
      </c>
      <c r="D32" s="12" t="s">
        <v>17</v>
      </c>
    </row>
    <row r="33" spans="2:4" ht="15.75" customHeight="1" x14ac:dyDescent="0.25">
      <c r="B33" s="10">
        <v>1032372158</v>
      </c>
      <c r="C33" s="11" t="s">
        <v>35</v>
      </c>
      <c r="D33" s="12" t="s">
        <v>34</v>
      </c>
    </row>
    <row r="34" spans="2:4" ht="15.75" customHeight="1" x14ac:dyDescent="0.25">
      <c r="B34" s="10">
        <v>1110511708</v>
      </c>
      <c r="C34" s="11" t="s">
        <v>24</v>
      </c>
      <c r="D34" s="12" t="s">
        <v>25</v>
      </c>
    </row>
    <row r="35" spans="2:4" ht="15.75" customHeight="1" x14ac:dyDescent="0.25">
      <c r="B35" s="10">
        <v>1110546445</v>
      </c>
      <c r="C35" s="11" t="s">
        <v>36</v>
      </c>
      <c r="D35" s="12" t="s">
        <v>37</v>
      </c>
    </row>
    <row r="36" spans="2:4" ht="15.75" customHeight="1" x14ac:dyDescent="0.25">
      <c r="B36" s="10">
        <v>1006123077</v>
      </c>
      <c r="C36" s="11" t="s">
        <v>38</v>
      </c>
      <c r="D36" s="12" t="s">
        <v>39</v>
      </c>
    </row>
    <row r="37" spans="2:4" ht="15.75" customHeight="1" x14ac:dyDescent="0.25">
      <c r="B37" s="10">
        <v>14236999</v>
      </c>
      <c r="C37" s="11" t="s">
        <v>13</v>
      </c>
      <c r="D37" s="12" t="s">
        <v>14</v>
      </c>
    </row>
    <row r="38" spans="2:4" ht="15.75" customHeight="1" x14ac:dyDescent="0.25">
      <c r="B38" s="10">
        <v>1234638696</v>
      </c>
      <c r="C38" s="11" t="s">
        <v>40</v>
      </c>
      <c r="D38" s="12" t="s">
        <v>41</v>
      </c>
    </row>
    <row r="39" spans="2:4" ht="15.75" customHeight="1" x14ac:dyDescent="0.25">
      <c r="B39" s="10">
        <v>1000775862</v>
      </c>
      <c r="C39" s="11" t="s">
        <v>42</v>
      </c>
      <c r="D39" s="12" t="s">
        <v>41</v>
      </c>
    </row>
    <row r="40" spans="2:4" ht="15.75" customHeight="1" x14ac:dyDescent="0.25">
      <c r="B40" s="10">
        <v>5927717</v>
      </c>
      <c r="C40" s="11" t="s">
        <v>43</v>
      </c>
      <c r="D40" s="12" t="s">
        <v>41</v>
      </c>
    </row>
    <row r="41" spans="2:4" ht="15.75" customHeight="1" x14ac:dyDescent="0.25">
      <c r="B41" s="10">
        <v>1110442630</v>
      </c>
      <c r="C41" s="11" t="s">
        <v>44</v>
      </c>
      <c r="D41" s="12" t="s">
        <v>41</v>
      </c>
    </row>
    <row r="42" spans="2:4" ht="15.75" customHeight="1" x14ac:dyDescent="0.25">
      <c r="B42" s="10">
        <v>1007832826</v>
      </c>
      <c r="C42" s="11" t="s">
        <v>45</v>
      </c>
      <c r="D42" s="12" t="s">
        <v>46</v>
      </c>
    </row>
    <row r="43" spans="2:4" ht="15.75" customHeight="1" x14ac:dyDescent="0.25">
      <c r="B43" s="10" t="s">
        <v>47</v>
      </c>
      <c r="C43" s="11" t="s">
        <v>48</v>
      </c>
      <c r="D43" s="12"/>
    </row>
    <row r="44" spans="2:4" ht="15.75" customHeight="1" x14ac:dyDescent="0.25">
      <c r="B44" s="10">
        <v>1110546445</v>
      </c>
      <c r="C44" s="11" t="s">
        <v>36</v>
      </c>
      <c r="D44" s="12" t="s">
        <v>37</v>
      </c>
    </row>
    <row r="45" spans="2:4" ht="15.75" customHeight="1" x14ac:dyDescent="0.25">
      <c r="B45" s="10">
        <v>1005717607</v>
      </c>
      <c r="C45" s="11" t="s">
        <v>49</v>
      </c>
      <c r="D45" s="12" t="s">
        <v>37</v>
      </c>
    </row>
    <row r="46" spans="2:4" ht="15.75" customHeight="1" x14ac:dyDescent="0.25">
      <c r="B46" s="10">
        <v>14243741</v>
      </c>
      <c r="C46" s="11" t="s">
        <v>50</v>
      </c>
      <c r="D46" s="12" t="s">
        <v>51</v>
      </c>
    </row>
    <row r="47" spans="2:4" ht="15.75" customHeight="1" x14ac:dyDescent="0.25">
      <c r="B47" s="10">
        <v>1110442630</v>
      </c>
      <c r="C47" s="11" t="s">
        <v>44</v>
      </c>
      <c r="D47" s="12" t="s">
        <v>34</v>
      </c>
    </row>
    <row r="48" spans="2:4" ht="15.75" customHeight="1" x14ac:dyDescent="0.25">
      <c r="B48" s="10" t="s">
        <v>52</v>
      </c>
      <c r="C48" s="11" t="s">
        <v>53</v>
      </c>
      <c r="D48" s="12"/>
    </row>
    <row r="49" spans="2:4" ht="15.75" customHeight="1" x14ac:dyDescent="0.25">
      <c r="B49" s="10">
        <v>800251569</v>
      </c>
      <c r="C49" s="11" t="s">
        <v>54</v>
      </c>
      <c r="D49" s="12"/>
    </row>
    <row r="50" spans="2:4" ht="15.75" customHeight="1" x14ac:dyDescent="0.25">
      <c r="B50" s="10">
        <v>1006122533</v>
      </c>
      <c r="C50" s="11" t="s">
        <v>55</v>
      </c>
      <c r="D50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9B06-7335-4E0E-B6F4-2CC664ED978C}">
  <sheetPr>
    <pageSetUpPr fitToPage="1"/>
  </sheetPr>
  <dimension ref="A1:I57"/>
  <sheetViews>
    <sheetView topLeftCell="A7" zoomScale="85" zoomScaleNormal="85" workbookViewId="0">
      <selection activeCell="G9" sqref="G9"/>
    </sheetView>
  </sheetViews>
  <sheetFormatPr baseColWidth="10" defaultColWidth="18.140625" defaultRowHeight="15.75" customHeight="1" x14ac:dyDescent="0.25"/>
  <cols>
    <col min="1" max="1" width="10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74.28515625" bestFit="1" customWidth="1"/>
    <col min="6" max="6" width="15.42578125" bestFit="1" customWidth="1"/>
    <col min="7" max="7" width="38.140625" bestFit="1" customWidth="1"/>
    <col min="8" max="8" width="21.42578125" bestFit="1" customWidth="1"/>
  </cols>
  <sheetData>
    <row r="1" spans="1:9" ht="15.75" customHeight="1" x14ac:dyDescent="0.25">
      <c r="A1" s="21"/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02 2026'!H23</f>
        <v>-1081074.44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46117</v>
      </c>
      <c r="B12" s="10">
        <v>65762110</v>
      </c>
      <c r="C12" s="11" t="s">
        <v>16</v>
      </c>
      <c r="D12" s="12" t="s">
        <v>17</v>
      </c>
      <c r="E12" s="12" t="s">
        <v>57</v>
      </c>
      <c r="F12" s="10">
        <v>65762110</v>
      </c>
      <c r="G12" s="11" t="s">
        <v>16</v>
      </c>
      <c r="H12" s="13">
        <v>20000</v>
      </c>
      <c r="I12" s="1"/>
    </row>
    <row r="13" spans="1:9" ht="15.75" customHeight="1" x14ac:dyDescent="0.25">
      <c r="A13" s="9">
        <v>46117</v>
      </c>
      <c r="B13" s="10">
        <v>65762110</v>
      </c>
      <c r="C13" s="11" t="s">
        <v>16</v>
      </c>
      <c r="D13" s="12" t="s">
        <v>17</v>
      </c>
      <c r="E13" s="12" t="s">
        <v>58</v>
      </c>
      <c r="F13" s="10">
        <v>65762110</v>
      </c>
      <c r="G13" s="11" t="s">
        <v>16</v>
      </c>
      <c r="H13" s="13">
        <v>12000</v>
      </c>
      <c r="I13" s="1"/>
    </row>
    <row r="14" spans="1:9" ht="15.75" customHeight="1" x14ac:dyDescent="0.25">
      <c r="A14" s="9">
        <v>46117</v>
      </c>
      <c r="B14" s="10">
        <v>65737477</v>
      </c>
      <c r="C14" s="11" t="s">
        <v>18</v>
      </c>
      <c r="D14" s="12" t="s">
        <v>9</v>
      </c>
      <c r="E14" s="12" t="s">
        <v>59</v>
      </c>
      <c r="F14" s="10">
        <v>65737477</v>
      </c>
      <c r="G14" s="11" t="s">
        <v>18</v>
      </c>
      <c r="H14" s="13">
        <v>17800</v>
      </c>
      <c r="I14" s="1"/>
    </row>
    <row r="15" spans="1:9" ht="15.75" customHeight="1" x14ac:dyDescent="0.25">
      <c r="A15" s="9">
        <v>46117</v>
      </c>
      <c r="B15" s="10">
        <v>1007832826</v>
      </c>
      <c r="C15" s="11" t="s">
        <v>45</v>
      </c>
      <c r="D15" s="12" t="s">
        <v>46</v>
      </c>
      <c r="E15" s="12" t="s">
        <v>60</v>
      </c>
      <c r="F15" s="10">
        <v>1007832826</v>
      </c>
      <c r="G15" s="11" t="s">
        <v>45</v>
      </c>
      <c r="H15" s="13">
        <v>7600</v>
      </c>
      <c r="I15" s="1"/>
    </row>
    <row r="16" spans="1:9" ht="15.75" customHeight="1" x14ac:dyDescent="0.25">
      <c r="A16" s="9">
        <v>46117</v>
      </c>
      <c r="B16" s="10">
        <v>1007832826</v>
      </c>
      <c r="C16" s="11" t="s">
        <v>45</v>
      </c>
      <c r="D16" s="12" t="s">
        <v>46</v>
      </c>
      <c r="E16" s="12" t="s">
        <v>61</v>
      </c>
      <c r="F16" s="10">
        <v>1007832826</v>
      </c>
      <c r="G16" s="11" t="s">
        <v>45</v>
      </c>
      <c r="H16" s="13">
        <v>15000</v>
      </c>
      <c r="I16" s="1"/>
    </row>
    <row r="17" spans="1:9" ht="15.75" customHeight="1" x14ac:dyDescent="0.25">
      <c r="A17" s="9">
        <v>46117</v>
      </c>
      <c r="B17" s="10">
        <v>1007832826</v>
      </c>
      <c r="C17" s="11" t="s">
        <v>45</v>
      </c>
      <c r="D17" s="12" t="s">
        <v>46</v>
      </c>
      <c r="E17" s="12" t="s">
        <v>62</v>
      </c>
      <c r="F17" s="10">
        <v>1007832826</v>
      </c>
      <c r="G17" s="11" t="s">
        <v>45</v>
      </c>
      <c r="H17" s="13">
        <v>14000</v>
      </c>
      <c r="I17" s="1"/>
    </row>
    <row r="18" spans="1:9" ht="15.75" customHeight="1" x14ac:dyDescent="0.25">
      <c r="A18" s="9">
        <v>46117</v>
      </c>
      <c r="B18" s="10">
        <v>65737477</v>
      </c>
      <c r="C18" s="11" t="s">
        <v>18</v>
      </c>
      <c r="D18" s="12" t="s">
        <v>9</v>
      </c>
      <c r="E18" s="12" t="s">
        <v>63</v>
      </c>
      <c r="F18" s="10">
        <v>65737477</v>
      </c>
      <c r="G18" s="11" t="s">
        <v>18</v>
      </c>
      <c r="H18" s="13">
        <v>36700</v>
      </c>
      <c r="I18" s="1"/>
    </row>
    <row r="19" spans="1:9" ht="15.75" customHeight="1" x14ac:dyDescent="0.25">
      <c r="A19" s="9">
        <v>46117</v>
      </c>
      <c r="B19" s="10">
        <v>1007832826</v>
      </c>
      <c r="C19" s="11" t="s">
        <v>45</v>
      </c>
      <c r="D19" s="12" t="s">
        <v>46</v>
      </c>
      <c r="E19" s="12" t="s">
        <v>64</v>
      </c>
      <c r="F19" s="10">
        <v>1007832826</v>
      </c>
      <c r="G19" s="11" t="s">
        <v>45</v>
      </c>
      <c r="H19" s="13">
        <v>7000</v>
      </c>
      <c r="I19" s="1"/>
    </row>
    <row r="20" spans="1:9" ht="15.75" customHeight="1" x14ac:dyDescent="0.25">
      <c r="A20" s="9">
        <v>46117</v>
      </c>
      <c r="B20" s="10">
        <v>1110511708</v>
      </c>
      <c r="C20" s="11" t="s">
        <v>24</v>
      </c>
      <c r="D20" s="12" t="s">
        <v>25</v>
      </c>
      <c r="E20" s="12" t="s">
        <v>65</v>
      </c>
      <c r="F20" s="10" t="s">
        <v>66</v>
      </c>
      <c r="G20" s="11" t="s">
        <v>67</v>
      </c>
      <c r="H20" s="13">
        <v>5000</v>
      </c>
      <c r="I20" s="1"/>
    </row>
    <row r="21" spans="1:9" ht="15.75" customHeight="1" x14ac:dyDescent="0.25">
      <c r="A21" s="9">
        <v>46117</v>
      </c>
      <c r="B21" s="10">
        <v>1110511708</v>
      </c>
      <c r="C21" s="11" t="s">
        <v>24</v>
      </c>
      <c r="D21" s="12" t="s">
        <v>25</v>
      </c>
      <c r="E21" s="12" t="s">
        <v>65</v>
      </c>
      <c r="F21" s="10" t="s">
        <v>66</v>
      </c>
      <c r="G21" s="11" t="s">
        <v>67</v>
      </c>
      <c r="H21" s="13">
        <v>25000</v>
      </c>
      <c r="I21" s="1"/>
    </row>
    <row r="22" spans="1:9" ht="15.75" customHeight="1" x14ac:dyDescent="0.25">
      <c r="A22" s="9">
        <v>46117</v>
      </c>
      <c r="B22" s="10">
        <v>14236999</v>
      </c>
      <c r="C22" s="11" t="s">
        <v>13</v>
      </c>
      <c r="D22" s="12" t="s">
        <v>14</v>
      </c>
      <c r="E22" s="12" t="s">
        <v>68</v>
      </c>
      <c r="F22" s="10" t="s">
        <v>69</v>
      </c>
      <c r="G22" s="11" t="s">
        <v>70</v>
      </c>
      <c r="H22" s="13">
        <v>30255</v>
      </c>
      <c r="I22" s="1"/>
    </row>
    <row r="23" spans="1:9" ht="15.75" customHeight="1" x14ac:dyDescent="0.25">
      <c r="A23" s="9">
        <v>46117</v>
      </c>
      <c r="B23" s="10">
        <v>65737477</v>
      </c>
      <c r="C23" s="11" t="s">
        <v>18</v>
      </c>
      <c r="D23" s="12" t="s">
        <v>9</v>
      </c>
      <c r="E23" s="12" t="s">
        <v>71</v>
      </c>
      <c r="F23" s="10" t="s">
        <v>72</v>
      </c>
      <c r="G23" s="11" t="s">
        <v>73</v>
      </c>
      <c r="H23" s="13">
        <v>28500</v>
      </c>
      <c r="I23" s="1"/>
    </row>
    <row r="24" spans="1:9" ht="15.75" customHeight="1" x14ac:dyDescent="0.25">
      <c r="A24" s="9">
        <v>46117</v>
      </c>
      <c r="B24" s="10">
        <v>13239826</v>
      </c>
      <c r="C24" s="11" t="s">
        <v>8</v>
      </c>
      <c r="D24" s="12" t="s">
        <v>9</v>
      </c>
      <c r="E24" s="12" t="s">
        <v>74</v>
      </c>
      <c r="F24" s="10" t="s">
        <v>75</v>
      </c>
      <c r="G24" s="11" t="s">
        <v>76</v>
      </c>
      <c r="H24" s="13">
        <v>900</v>
      </c>
      <c r="I24" s="1"/>
    </row>
    <row r="25" spans="1:9" ht="15.75" customHeight="1" x14ac:dyDescent="0.25">
      <c r="A25" s="9">
        <v>46117</v>
      </c>
      <c r="B25" s="10">
        <v>1007832826</v>
      </c>
      <c r="C25" s="11" t="s">
        <v>45</v>
      </c>
      <c r="D25" s="12" t="s">
        <v>46</v>
      </c>
      <c r="E25" s="12" t="s">
        <v>77</v>
      </c>
      <c r="F25" s="10" t="s">
        <v>78</v>
      </c>
      <c r="G25" s="11" t="s">
        <v>79</v>
      </c>
      <c r="H25" s="13">
        <v>10000</v>
      </c>
      <c r="I25" s="1"/>
    </row>
    <row r="26" spans="1:9" ht="15.75" customHeight="1" x14ac:dyDescent="0.25">
      <c r="A26" s="9">
        <v>46117</v>
      </c>
      <c r="B26" s="10">
        <v>65777220</v>
      </c>
      <c r="C26" s="11" t="s">
        <v>30</v>
      </c>
      <c r="D26" s="12" t="s">
        <v>31</v>
      </c>
      <c r="E26" s="12" t="s">
        <v>80</v>
      </c>
      <c r="F26" s="10">
        <v>800251569</v>
      </c>
      <c r="G26" s="11" t="s">
        <v>54</v>
      </c>
      <c r="H26" s="13">
        <v>35900</v>
      </c>
      <c r="I26" s="1"/>
    </row>
    <row r="27" spans="1:9" ht="15.75" customHeight="1" x14ac:dyDescent="0.25">
      <c r="A27" s="9"/>
      <c r="B27" s="10"/>
      <c r="C27" s="11"/>
      <c r="D27" s="12"/>
      <c r="E27" s="12"/>
      <c r="F27" s="10"/>
      <c r="G27" s="11"/>
      <c r="H27" s="13"/>
      <c r="I27" s="1"/>
    </row>
    <row r="28" spans="1:9" ht="15.75" customHeight="1" x14ac:dyDescent="0.25">
      <c r="A28" s="9"/>
      <c r="B28" s="10"/>
      <c r="C28" s="11"/>
      <c r="D28" s="12"/>
      <c r="E28" s="12"/>
      <c r="F28" s="14"/>
      <c r="G28" s="15"/>
      <c r="H28" s="13">
        <f>SUM(H12:H26)</f>
        <v>265655</v>
      </c>
      <c r="I28" s="1"/>
    </row>
    <row r="29" spans="1:9" ht="15.75" customHeight="1" x14ac:dyDescent="0.25">
      <c r="A29" s="9"/>
      <c r="B29" s="16"/>
      <c r="C29" s="11"/>
      <c r="D29" s="12"/>
      <c r="E29" s="12"/>
      <c r="F29" s="14"/>
      <c r="G29" s="15"/>
      <c r="H29" s="13"/>
      <c r="I29" s="1"/>
    </row>
    <row r="30" spans="1:9" ht="15.75" customHeight="1" x14ac:dyDescent="0.25">
      <c r="A30" s="9"/>
      <c r="B30" s="16"/>
      <c r="C30" s="11"/>
      <c r="D30" s="12"/>
      <c r="E30" s="12"/>
      <c r="F30" s="14"/>
      <c r="G30" s="15"/>
      <c r="H30" s="13">
        <f>H10-H28</f>
        <v>-1346729.44</v>
      </c>
      <c r="I30" s="1"/>
    </row>
    <row r="31" spans="1:9" ht="15.75" customHeight="1" x14ac:dyDescent="0.25">
      <c r="A31" s="9"/>
      <c r="B31" s="16"/>
      <c r="C31" s="11"/>
      <c r="D31" s="12"/>
      <c r="E31" s="17"/>
      <c r="F31" s="14"/>
      <c r="G31" s="11"/>
      <c r="H31" s="18"/>
      <c r="I31" s="1"/>
    </row>
    <row r="33" spans="2:4" ht="15.75" customHeight="1" x14ac:dyDescent="0.25">
      <c r="B33" s="10">
        <v>110580597</v>
      </c>
      <c r="C33" s="11" t="s">
        <v>28</v>
      </c>
      <c r="D33" s="12" t="s">
        <v>29</v>
      </c>
    </row>
    <row r="34" spans="2:4" ht="15.75" customHeight="1" x14ac:dyDescent="0.25">
      <c r="B34" s="10">
        <v>65777220</v>
      </c>
      <c r="C34" s="11" t="s">
        <v>30</v>
      </c>
      <c r="D34" s="12" t="s">
        <v>31</v>
      </c>
    </row>
    <row r="35" spans="2:4" ht="15.75" customHeight="1" x14ac:dyDescent="0.25">
      <c r="B35" s="10">
        <v>65737477</v>
      </c>
      <c r="C35" s="11" t="s">
        <v>18</v>
      </c>
      <c r="D35" s="12" t="s">
        <v>9</v>
      </c>
    </row>
    <row r="36" spans="2:4" ht="15.75" customHeight="1" x14ac:dyDescent="0.25">
      <c r="B36" s="10">
        <v>14106438</v>
      </c>
      <c r="C36" s="11" t="s">
        <v>32</v>
      </c>
      <c r="D36" s="12" t="s">
        <v>17</v>
      </c>
    </row>
    <row r="37" spans="2:4" ht="15.75" customHeight="1" x14ac:dyDescent="0.25">
      <c r="B37" s="10">
        <v>5939109</v>
      </c>
      <c r="C37" s="11" t="s">
        <v>33</v>
      </c>
      <c r="D37" s="12" t="s">
        <v>34</v>
      </c>
    </row>
    <row r="38" spans="2:4" ht="15.75" customHeight="1" x14ac:dyDescent="0.25">
      <c r="B38" s="10">
        <v>13239826</v>
      </c>
      <c r="C38" s="11" t="s">
        <v>8</v>
      </c>
      <c r="D38" s="12" t="s">
        <v>9</v>
      </c>
    </row>
    <row r="39" spans="2:4" ht="15.75" customHeight="1" x14ac:dyDescent="0.25">
      <c r="B39" s="10">
        <v>65762110</v>
      </c>
      <c r="C39" s="11" t="s">
        <v>16</v>
      </c>
      <c r="D39" s="12" t="s">
        <v>17</v>
      </c>
    </row>
    <row r="40" spans="2:4" ht="15.75" customHeight="1" x14ac:dyDescent="0.25">
      <c r="B40" s="10">
        <v>1032372158</v>
      </c>
      <c r="C40" s="11" t="s">
        <v>35</v>
      </c>
      <c r="D40" s="12" t="s">
        <v>34</v>
      </c>
    </row>
    <row r="41" spans="2:4" ht="15.75" customHeight="1" x14ac:dyDescent="0.25">
      <c r="B41" s="10">
        <v>1110511708</v>
      </c>
      <c r="C41" s="11" t="s">
        <v>24</v>
      </c>
      <c r="D41" s="12" t="s">
        <v>25</v>
      </c>
    </row>
    <row r="42" spans="2:4" ht="15.75" customHeight="1" x14ac:dyDescent="0.25">
      <c r="B42" s="10">
        <v>1110546445</v>
      </c>
      <c r="C42" s="11" t="s">
        <v>36</v>
      </c>
      <c r="D42" s="12" t="s">
        <v>37</v>
      </c>
    </row>
    <row r="43" spans="2:4" ht="15.75" customHeight="1" x14ac:dyDescent="0.25">
      <c r="B43" s="10">
        <v>1006123077</v>
      </c>
      <c r="C43" s="11" t="s">
        <v>38</v>
      </c>
      <c r="D43" s="12" t="s">
        <v>39</v>
      </c>
    </row>
    <row r="44" spans="2:4" ht="15.75" customHeight="1" x14ac:dyDescent="0.25">
      <c r="B44" s="10">
        <v>14236999</v>
      </c>
      <c r="C44" s="11" t="s">
        <v>13</v>
      </c>
      <c r="D44" s="12" t="s">
        <v>14</v>
      </c>
    </row>
    <row r="45" spans="2:4" ht="15.75" customHeight="1" x14ac:dyDescent="0.25">
      <c r="B45" s="10">
        <v>1234638696</v>
      </c>
      <c r="C45" s="11" t="s">
        <v>40</v>
      </c>
      <c r="D45" s="12" t="s">
        <v>41</v>
      </c>
    </row>
    <row r="46" spans="2:4" ht="15.75" customHeight="1" x14ac:dyDescent="0.25">
      <c r="B46" s="10">
        <v>1000775862</v>
      </c>
      <c r="C46" s="11" t="s">
        <v>42</v>
      </c>
      <c r="D46" s="12" t="s">
        <v>41</v>
      </c>
    </row>
    <row r="47" spans="2:4" ht="15.75" customHeight="1" x14ac:dyDescent="0.25">
      <c r="B47" s="10">
        <v>5927717</v>
      </c>
      <c r="C47" s="11" t="s">
        <v>43</v>
      </c>
      <c r="D47" s="12" t="s">
        <v>41</v>
      </c>
    </row>
    <row r="48" spans="2:4" ht="15.75" customHeight="1" x14ac:dyDescent="0.25">
      <c r="B48" s="10">
        <v>1110442630</v>
      </c>
      <c r="C48" s="11" t="s">
        <v>44</v>
      </c>
      <c r="D48" s="12" t="s">
        <v>41</v>
      </c>
    </row>
    <row r="49" spans="2:4" ht="15.75" customHeight="1" x14ac:dyDescent="0.25">
      <c r="B49" s="10">
        <v>1007832826</v>
      </c>
      <c r="C49" s="11" t="s">
        <v>45</v>
      </c>
      <c r="D49" s="12" t="s">
        <v>46</v>
      </c>
    </row>
    <row r="50" spans="2:4" ht="15.75" customHeight="1" x14ac:dyDescent="0.25">
      <c r="B50" s="10" t="s">
        <v>47</v>
      </c>
      <c r="C50" s="11" t="s">
        <v>48</v>
      </c>
      <c r="D50" s="12"/>
    </row>
    <row r="51" spans="2:4" ht="15.75" customHeight="1" x14ac:dyDescent="0.25">
      <c r="B51" s="10">
        <v>1110546445</v>
      </c>
      <c r="C51" s="11" t="s">
        <v>36</v>
      </c>
      <c r="D51" s="12" t="s">
        <v>37</v>
      </c>
    </row>
    <row r="52" spans="2:4" ht="15.75" customHeight="1" x14ac:dyDescent="0.25">
      <c r="B52" s="10">
        <v>1005717607</v>
      </c>
      <c r="C52" s="11" t="s">
        <v>49</v>
      </c>
      <c r="D52" s="12" t="s">
        <v>37</v>
      </c>
    </row>
    <row r="53" spans="2:4" ht="15.75" customHeight="1" x14ac:dyDescent="0.25">
      <c r="B53" s="10">
        <v>14243741</v>
      </c>
      <c r="C53" s="11" t="s">
        <v>50</v>
      </c>
      <c r="D53" s="12" t="s">
        <v>51</v>
      </c>
    </row>
    <row r="54" spans="2:4" ht="15.75" customHeight="1" x14ac:dyDescent="0.25">
      <c r="B54" s="10">
        <v>1110442630</v>
      </c>
      <c r="C54" s="11" t="s">
        <v>44</v>
      </c>
      <c r="D54" s="12" t="s">
        <v>34</v>
      </c>
    </row>
    <row r="55" spans="2:4" ht="15.75" customHeight="1" x14ac:dyDescent="0.25">
      <c r="B55" s="10" t="s">
        <v>52</v>
      </c>
      <c r="C55" s="11" t="s">
        <v>53</v>
      </c>
      <c r="D55" s="12"/>
    </row>
    <row r="56" spans="2:4" ht="15.75" customHeight="1" x14ac:dyDescent="0.25">
      <c r="B56" s="10">
        <v>800251569</v>
      </c>
      <c r="C56" s="11" t="s">
        <v>54</v>
      </c>
      <c r="D56" s="12"/>
    </row>
    <row r="57" spans="2:4" ht="15.75" customHeight="1" x14ac:dyDescent="0.25">
      <c r="B57" s="10">
        <v>1006122533</v>
      </c>
      <c r="C57" s="11" t="s">
        <v>55</v>
      </c>
      <c r="D57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5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6025-1D77-4469-B943-4549241D24E8}">
  <sheetPr>
    <pageSetUpPr fitToPage="1"/>
  </sheetPr>
  <dimension ref="A1:I46"/>
  <sheetViews>
    <sheetView zoomScale="85" zoomScaleNormal="85" workbookViewId="0">
      <selection activeCell="H19" sqref="H19"/>
    </sheetView>
  </sheetViews>
  <sheetFormatPr baseColWidth="10" defaultColWidth="18.140625" defaultRowHeight="15.75" customHeight="1" x14ac:dyDescent="0.25"/>
  <cols>
    <col min="1" max="1" width="10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74.28515625" bestFit="1" customWidth="1"/>
    <col min="6" max="6" width="15.42578125" bestFit="1" customWidth="1"/>
    <col min="7" max="7" width="38.140625" bestFit="1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03 2026'!H30</f>
        <v>-1346729.44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46147</v>
      </c>
      <c r="B12" s="10">
        <v>65737477</v>
      </c>
      <c r="C12" s="11" t="s">
        <v>18</v>
      </c>
      <c r="D12" s="12" t="s">
        <v>9</v>
      </c>
      <c r="E12" s="12" t="s">
        <v>82</v>
      </c>
      <c r="F12" s="10">
        <v>65737477</v>
      </c>
      <c r="G12" s="11" t="s">
        <v>18</v>
      </c>
      <c r="H12" s="13">
        <v>20000</v>
      </c>
      <c r="I12" s="1"/>
    </row>
    <row r="13" spans="1:9" ht="15.75" customHeight="1" x14ac:dyDescent="0.25">
      <c r="A13" s="9">
        <v>46147</v>
      </c>
      <c r="B13" s="10">
        <v>1234638696</v>
      </c>
      <c r="C13" s="11" t="s">
        <v>40</v>
      </c>
      <c r="D13" s="12" t="s">
        <v>41</v>
      </c>
      <c r="E13" s="12" t="s">
        <v>83</v>
      </c>
      <c r="F13" s="10" t="s">
        <v>20</v>
      </c>
      <c r="G13" s="11" t="s">
        <v>84</v>
      </c>
      <c r="H13" s="13">
        <v>9450</v>
      </c>
      <c r="I13" s="1"/>
    </row>
    <row r="14" spans="1:9" ht="15.75" customHeight="1" x14ac:dyDescent="0.25">
      <c r="A14" s="9">
        <v>46147</v>
      </c>
      <c r="B14" s="10">
        <v>1007832826</v>
      </c>
      <c r="C14" s="11" t="s">
        <v>45</v>
      </c>
      <c r="D14" s="12" t="s">
        <v>46</v>
      </c>
      <c r="E14" s="12" t="s">
        <v>85</v>
      </c>
      <c r="F14" s="10" t="s">
        <v>86</v>
      </c>
      <c r="G14" s="11" t="s">
        <v>87</v>
      </c>
      <c r="H14" s="13">
        <v>18700</v>
      </c>
      <c r="I14" s="1"/>
    </row>
    <row r="15" spans="1:9" ht="15.75" customHeight="1" x14ac:dyDescent="0.25">
      <c r="A15" s="9">
        <v>46147</v>
      </c>
      <c r="B15" s="10">
        <v>65737477</v>
      </c>
      <c r="C15" s="11" t="s">
        <v>18</v>
      </c>
      <c r="D15" s="12" t="s">
        <v>9</v>
      </c>
      <c r="E15" s="12" t="s">
        <v>88</v>
      </c>
      <c r="F15" s="10" t="s">
        <v>52</v>
      </c>
      <c r="G15" s="11" t="s">
        <v>89</v>
      </c>
      <c r="H15" s="13">
        <v>21000</v>
      </c>
      <c r="I15" s="1"/>
    </row>
    <row r="16" spans="1:9" ht="15.75" customHeight="1" x14ac:dyDescent="0.25">
      <c r="A16" s="9"/>
      <c r="B16" s="10"/>
      <c r="C16" s="11"/>
      <c r="D16" s="12"/>
      <c r="E16" s="12"/>
      <c r="F16" s="10"/>
      <c r="G16" s="11"/>
      <c r="H16" s="13"/>
      <c r="I16" s="1"/>
    </row>
    <row r="17" spans="1:9" ht="15.75" customHeight="1" x14ac:dyDescent="0.25">
      <c r="A17" s="9"/>
      <c r="B17" s="10"/>
      <c r="C17" s="11"/>
      <c r="D17" s="12"/>
      <c r="E17" s="12"/>
      <c r="F17" s="14"/>
      <c r="G17" s="15"/>
      <c r="H17" s="13">
        <f>SUM(H12:H15)</f>
        <v>69150</v>
      </c>
      <c r="I17" s="1"/>
    </row>
    <row r="18" spans="1:9" ht="15.75" customHeight="1" x14ac:dyDescent="0.25">
      <c r="A18" s="9"/>
      <c r="B18" s="16"/>
      <c r="C18" s="11"/>
      <c r="D18" s="12"/>
      <c r="E18" s="12"/>
      <c r="F18" s="14"/>
      <c r="G18" s="15"/>
      <c r="H18" s="13"/>
      <c r="I18" s="1"/>
    </row>
    <row r="19" spans="1:9" ht="15.75" customHeight="1" x14ac:dyDescent="0.25">
      <c r="A19" s="9"/>
      <c r="B19" s="16"/>
      <c r="C19" s="11"/>
      <c r="D19" s="12"/>
      <c r="E19" s="12"/>
      <c r="F19" s="14"/>
      <c r="G19" s="15"/>
      <c r="H19" s="13">
        <f>H10-H17</f>
        <v>-1415879.44</v>
      </c>
      <c r="I19" s="1"/>
    </row>
    <row r="20" spans="1:9" ht="15.75" customHeight="1" x14ac:dyDescent="0.25">
      <c r="A20" s="9"/>
      <c r="B20" s="16"/>
      <c r="C20" s="11"/>
      <c r="D20" s="12"/>
      <c r="E20" s="17"/>
      <c r="F20" s="14"/>
      <c r="G20" s="11"/>
      <c r="H20" s="18"/>
      <c r="I20" s="1"/>
    </row>
    <row r="22" spans="1:9" ht="15.75" customHeight="1" x14ac:dyDescent="0.25">
      <c r="B22" s="10">
        <v>110580597</v>
      </c>
      <c r="C22" s="11" t="s">
        <v>28</v>
      </c>
      <c r="D22" s="12" t="s">
        <v>29</v>
      </c>
    </row>
    <row r="23" spans="1:9" ht="15.75" customHeight="1" x14ac:dyDescent="0.25">
      <c r="B23" s="10">
        <v>65777220</v>
      </c>
      <c r="C23" s="11" t="s">
        <v>30</v>
      </c>
      <c r="D23" s="12" t="s">
        <v>31</v>
      </c>
    </row>
    <row r="24" spans="1:9" ht="15.75" customHeight="1" x14ac:dyDescent="0.25">
      <c r="B24" s="10">
        <v>65737477</v>
      </c>
      <c r="C24" s="11" t="s">
        <v>18</v>
      </c>
      <c r="D24" s="12" t="s">
        <v>9</v>
      </c>
    </row>
    <row r="25" spans="1:9" ht="15.75" customHeight="1" x14ac:dyDescent="0.25">
      <c r="B25" s="10">
        <v>14106438</v>
      </c>
      <c r="C25" s="11" t="s">
        <v>32</v>
      </c>
      <c r="D25" s="12" t="s">
        <v>17</v>
      </c>
    </row>
    <row r="26" spans="1:9" ht="15.75" customHeight="1" x14ac:dyDescent="0.25">
      <c r="B26" s="10">
        <v>5939109</v>
      </c>
      <c r="C26" s="11" t="s">
        <v>33</v>
      </c>
      <c r="D26" s="12" t="s">
        <v>34</v>
      </c>
    </row>
    <row r="27" spans="1:9" ht="15.75" customHeight="1" x14ac:dyDescent="0.25">
      <c r="B27" s="10">
        <v>13239826</v>
      </c>
      <c r="C27" s="11" t="s">
        <v>8</v>
      </c>
      <c r="D27" s="12" t="s">
        <v>9</v>
      </c>
    </row>
    <row r="28" spans="1:9" ht="15.75" customHeight="1" x14ac:dyDescent="0.25">
      <c r="B28" s="10">
        <v>65762110</v>
      </c>
      <c r="C28" s="11" t="s">
        <v>16</v>
      </c>
      <c r="D28" s="12" t="s">
        <v>17</v>
      </c>
    </row>
    <row r="29" spans="1:9" ht="15.75" customHeight="1" x14ac:dyDescent="0.25">
      <c r="B29" s="10">
        <v>1032372158</v>
      </c>
      <c r="C29" s="11" t="s">
        <v>35</v>
      </c>
      <c r="D29" s="12" t="s">
        <v>34</v>
      </c>
    </row>
    <row r="30" spans="1:9" ht="15.75" customHeight="1" x14ac:dyDescent="0.25">
      <c r="B30" s="10">
        <v>1110511708</v>
      </c>
      <c r="C30" s="11" t="s">
        <v>24</v>
      </c>
      <c r="D30" s="12" t="s">
        <v>25</v>
      </c>
    </row>
    <row r="31" spans="1:9" ht="15.75" customHeight="1" x14ac:dyDescent="0.25">
      <c r="B31" s="10">
        <v>1110546445</v>
      </c>
      <c r="C31" s="11" t="s">
        <v>36</v>
      </c>
      <c r="D31" s="12" t="s">
        <v>37</v>
      </c>
    </row>
    <row r="32" spans="1:9" ht="15.75" customHeight="1" x14ac:dyDescent="0.25">
      <c r="B32" s="10">
        <v>1006123077</v>
      </c>
      <c r="C32" s="11" t="s">
        <v>38</v>
      </c>
      <c r="D32" s="12" t="s">
        <v>39</v>
      </c>
    </row>
    <row r="33" spans="2:4" ht="15.75" customHeight="1" x14ac:dyDescent="0.25">
      <c r="B33" s="10">
        <v>14236999</v>
      </c>
      <c r="C33" s="11" t="s">
        <v>13</v>
      </c>
      <c r="D33" s="12" t="s">
        <v>14</v>
      </c>
    </row>
    <row r="34" spans="2:4" ht="15.75" customHeight="1" x14ac:dyDescent="0.25">
      <c r="B34" s="10">
        <v>1234638696</v>
      </c>
      <c r="C34" s="11" t="s">
        <v>40</v>
      </c>
      <c r="D34" s="12" t="s">
        <v>41</v>
      </c>
    </row>
    <row r="35" spans="2:4" ht="15.75" customHeight="1" x14ac:dyDescent="0.25">
      <c r="B35" s="10">
        <v>1000775862</v>
      </c>
      <c r="C35" s="11" t="s">
        <v>42</v>
      </c>
      <c r="D35" s="12" t="s">
        <v>41</v>
      </c>
    </row>
    <row r="36" spans="2:4" ht="15.75" customHeight="1" x14ac:dyDescent="0.25">
      <c r="B36" s="10">
        <v>5927717</v>
      </c>
      <c r="C36" s="11" t="s">
        <v>43</v>
      </c>
      <c r="D36" s="12" t="s">
        <v>41</v>
      </c>
    </row>
    <row r="37" spans="2:4" ht="15.75" customHeight="1" x14ac:dyDescent="0.25">
      <c r="B37" s="10">
        <v>1110442630</v>
      </c>
      <c r="C37" s="11" t="s">
        <v>44</v>
      </c>
      <c r="D37" s="12" t="s">
        <v>41</v>
      </c>
    </row>
    <row r="38" spans="2:4" ht="15.75" customHeight="1" x14ac:dyDescent="0.25">
      <c r="B38" s="10">
        <v>1007832826</v>
      </c>
      <c r="C38" s="11" t="s">
        <v>45</v>
      </c>
      <c r="D38" s="12" t="s">
        <v>46</v>
      </c>
    </row>
    <row r="39" spans="2:4" ht="15.75" customHeight="1" x14ac:dyDescent="0.25">
      <c r="B39" s="10" t="s">
        <v>47</v>
      </c>
      <c r="C39" s="11" t="s">
        <v>48</v>
      </c>
      <c r="D39" s="12"/>
    </row>
    <row r="40" spans="2:4" ht="15.75" customHeight="1" x14ac:dyDescent="0.25">
      <c r="B40" s="10">
        <v>1110546445</v>
      </c>
      <c r="C40" s="11" t="s">
        <v>36</v>
      </c>
      <c r="D40" s="12" t="s">
        <v>37</v>
      </c>
    </row>
    <row r="41" spans="2:4" ht="15.75" customHeight="1" x14ac:dyDescent="0.25">
      <c r="B41" s="10">
        <v>1005717607</v>
      </c>
      <c r="C41" s="11" t="s">
        <v>49</v>
      </c>
      <c r="D41" s="12" t="s">
        <v>37</v>
      </c>
    </row>
    <row r="42" spans="2:4" ht="15.75" customHeight="1" x14ac:dyDescent="0.25">
      <c r="B42" s="10">
        <v>14243741</v>
      </c>
      <c r="C42" s="11" t="s">
        <v>50</v>
      </c>
      <c r="D42" s="12" t="s">
        <v>51</v>
      </c>
    </row>
    <row r="43" spans="2:4" ht="15.75" customHeight="1" x14ac:dyDescent="0.25">
      <c r="B43" s="10">
        <v>1110442630</v>
      </c>
      <c r="C43" s="11" t="s">
        <v>44</v>
      </c>
      <c r="D43" s="12" t="s">
        <v>34</v>
      </c>
    </row>
    <row r="44" spans="2:4" ht="15.75" customHeight="1" x14ac:dyDescent="0.25">
      <c r="B44" s="10" t="s">
        <v>52</v>
      </c>
      <c r="C44" s="11" t="s">
        <v>53</v>
      </c>
      <c r="D44" s="12"/>
    </row>
    <row r="45" spans="2:4" ht="15.75" customHeight="1" x14ac:dyDescent="0.25">
      <c r="B45" s="10">
        <v>800251569</v>
      </c>
      <c r="C45" s="11" t="s">
        <v>54</v>
      </c>
      <c r="D45" s="12"/>
    </row>
    <row r="46" spans="2:4" ht="15.75" customHeight="1" x14ac:dyDescent="0.25">
      <c r="B46" s="10">
        <v>1006122533</v>
      </c>
      <c r="C46" s="11" t="s">
        <v>55</v>
      </c>
      <c r="D46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5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F87A-39AE-481B-8E11-1BAF63C40F9B}">
  <sheetPr>
    <pageSetUpPr fitToPage="1"/>
  </sheetPr>
  <dimension ref="A1:I52"/>
  <sheetViews>
    <sheetView zoomScale="85" zoomScaleNormal="85" workbookViewId="0">
      <selection activeCell="H23" sqref="H23"/>
    </sheetView>
  </sheetViews>
  <sheetFormatPr baseColWidth="10" defaultColWidth="18.140625" defaultRowHeight="15.75" customHeight="1" x14ac:dyDescent="0.25"/>
  <cols>
    <col min="1" max="1" width="10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65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05 2026'!H19</f>
        <v>-1415879.44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46178</v>
      </c>
      <c r="B12" s="10">
        <v>65777220</v>
      </c>
      <c r="C12" s="11" t="s">
        <v>30</v>
      </c>
      <c r="D12" s="12" t="s">
        <v>31</v>
      </c>
      <c r="E12" s="12" t="s">
        <v>90</v>
      </c>
      <c r="F12" s="10">
        <v>65777220</v>
      </c>
      <c r="G12" s="11" t="s">
        <v>30</v>
      </c>
      <c r="H12" s="13">
        <v>6000</v>
      </c>
      <c r="I12" s="1"/>
    </row>
    <row r="13" spans="1:9" ht="15.75" customHeight="1" x14ac:dyDescent="0.25">
      <c r="A13" s="9">
        <v>46178</v>
      </c>
      <c r="B13" s="10">
        <v>65737477</v>
      </c>
      <c r="C13" s="11" t="s">
        <v>18</v>
      </c>
      <c r="D13" s="12" t="s">
        <v>9</v>
      </c>
      <c r="E13" s="12" t="s">
        <v>91</v>
      </c>
      <c r="F13" s="10">
        <v>65737477</v>
      </c>
      <c r="G13" s="11" t="s">
        <v>18</v>
      </c>
      <c r="H13" s="13">
        <v>8000</v>
      </c>
      <c r="I13" s="1"/>
    </row>
    <row r="14" spans="1:9" ht="15.75" customHeight="1" x14ac:dyDescent="0.25">
      <c r="A14" s="9">
        <v>46178</v>
      </c>
      <c r="B14" s="10">
        <v>65737477</v>
      </c>
      <c r="C14" s="11" t="s">
        <v>18</v>
      </c>
      <c r="D14" s="12" t="s">
        <v>9</v>
      </c>
      <c r="E14" s="12" t="s">
        <v>92</v>
      </c>
      <c r="F14" s="10">
        <v>65737477</v>
      </c>
      <c r="G14" s="11" t="s">
        <v>18</v>
      </c>
      <c r="H14" s="13">
        <v>5000</v>
      </c>
      <c r="I14" s="1"/>
    </row>
    <row r="15" spans="1:9" ht="15.75" customHeight="1" x14ac:dyDescent="0.25">
      <c r="A15" s="9">
        <v>46178</v>
      </c>
      <c r="B15" s="10">
        <v>13239826</v>
      </c>
      <c r="C15" s="11" t="s">
        <v>8</v>
      </c>
      <c r="D15" s="12" t="s">
        <v>9</v>
      </c>
      <c r="E15" s="12" t="s">
        <v>93</v>
      </c>
      <c r="F15" s="10">
        <v>13239826</v>
      </c>
      <c r="G15" s="11" t="s">
        <v>8</v>
      </c>
      <c r="H15" s="13">
        <v>29750</v>
      </c>
      <c r="I15" s="1"/>
    </row>
    <row r="16" spans="1:9" ht="15.75" customHeight="1" x14ac:dyDescent="0.25">
      <c r="A16" s="9">
        <v>46178</v>
      </c>
      <c r="B16" s="10">
        <v>65737477</v>
      </c>
      <c r="C16" s="11" t="s">
        <v>18</v>
      </c>
      <c r="D16" s="12" t="s">
        <v>9</v>
      </c>
      <c r="E16" s="12" t="s">
        <v>94</v>
      </c>
      <c r="F16" s="10" t="s">
        <v>95</v>
      </c>
      <c r="G16" s="11" t="s">
        <v>96</v>
      </c>
      <c r="H16" s="13">
        <v>40000</v>
      </c>
      <c r="I16" s="1"/>
    </row>
    <row r="17" spans="1:9" ht="15.75" customHeight="1" x14ac:dyDescent="0.25">
      <c r="A17" s="9">
        <v>46178</v>
      </c>
      <c r="B17" s="10">
        <v>65737477</v>
      </c>
      <c r="C17" s="11" t="s">
        <v>18</v>
      </c>
      <c r="D17" s="12" t="s">
        <v>9</v>
      </c>
      <c r="E17" s="12" t="s">
        <v>97</v>
      </c>
      <c r="F17" s="10" t="s">
        <v>98</v>
      </c>
      <c r="G17" s="11" t="s">
        <v>99</v>
      </c>
      <c r="H17" s="13">
        <v>22000</v>
      </c>
      <c r="I17" s="1"/>
    </row>
    <row r="18" spans="1:9" ht="15.75" customHeight="1" x14ac:dyDescent="0.25">
      <c r="A18" s="9">
        <v>46178</v>
      </c>
      <c r="B18" s="10">
        <v>65777220</v>
      </c>
      <c r="C18" s="11" t="s">
        <v>30</v>
      </c>
      <c r="D18" s="12" t="s">
        <v>31</v>
      </c>
      <c r="E18" s="12" t="s">
        <v>100</v>
      </c>
      <c r="F18" s="10" t="s">
        <v>101</v>
      </c>
      <c r="G18" s="11" t="s">
        <v>102</v>
      </c>
      <c r="H18" s="13">
        <v>49000</v>
      </c>
      <c r="I18" s="1"/>
    </row>
    <row r="19" spans="1:9" ht="15.75" customHeight="1" x14ac:dyDescent="0.25">
      <c r="A19" s="9">
        <v>46178</v>
      </c>
      <c r="B19" s="10">
        <v>13239826</v>
      </c>
      <c r="C19" s="11" t="s">
        <v>8</v>
      </c>
      <c r="D19" s="12" t="s">
        <v>9</v>
      </c>
      <c r="E19" s="12" t="s">
        <v>74</v>
      </c>
      <c r="F19" s="10" t="s">
        <v>103</v>
      </c>
      <c r="G19" s="11" t="s">
        <v>104</v>
      </c>
      <c r="H19" s="13">
        <v>1700</v>
      </c>
      <c r="I19" s="1"/>
    </row>
    <row r="20" spans="1:9" ht="15.75" customHeight="1" x14ac:dyDescent="0.25">
      <c r="A20" s="9">
        <v>46178</v>
      </c>
      <c r="B20" s="10">
        <v>13239826</v>
      </c>
      <c r="C20" s="11" t="s">
        <v>8</v>
      </c>
      <c r="D20" s="12" t="s">
        <v>9</v>
      </c>
      <c r="E20" s="12" t="s">
        <v>74</v>
      </c>
      <c r="F20" s="10">
        <v>900018771</v>
      </c>
      <c r="G20" s="11" t="s">
        <v>105</v>
      </c>
      <c r="H20" s="13">
        <v>2200</v>
      </c>
      <c r="I20" s="1"/>
    </row>
    <row r="21" spans="1:9" ht="15.75" customHeight="1" x14ac:dyDescent="0.25">
      <c r="A21" s="9">
        <v>46178</v>
      </c>
      <c r="B21" s="10">
        <v>1234638696</v>
      </c>
      <c r="C21" s="11" t="s">
        <v>40</v>
      </c>
      <c r="D21" s="12" t="s">
        <v>41</v>
      </c>
      <c r="E21" s="12" t="s">
        <v>106</v>
      </c>
      <c r="F21" s="10" t="s">
        <v>107</v>
      </c>
      <c r="G21" s="11" t="s">
        <v>108</v>
      </c>
      <c r="H21" s="13">
        <v>21200</v>
      </c>
      <c r="I21" s="1"/>
    </row>
    <row r="22" spans="1:9" ht="15.75" customHeight="1" x14ac:dyDescent="0.25">
      <c r="A22" s="9">
        <v>46178</v>
      </c>
      <c r="B22" s="10">
        <v>1234638696</v>
      </c>
      <c r="C22" s="11" t="s">
        <v>40</v>
      </c>
      <c r="D22" s="12" t="s">
        <v>41</v>
      </c>
      <c r="E22" s="12" t="s">
        <v>106</v>
      </c>
      <c r="F22" s="10" t="s">
        <v>107</v>
      </c>
      <c r="G22" s="11" t="s">
        <v>108</v>
      </c>
      <c r="H22" s="13">
        <v>24700</v>
      </c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209550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-1625429.44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5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716D-9AEC-4DBA-A83F-83E698BE8A80}">
  <sheetPr>
    <pageSetUpPr fitToPage="1"/>
  </sheetPr>
  <dimension ref="A1:I52"/>
  <sheetViews>
    <sheetView zoomScale="85" zoomScaleNormal="85" workbookViewId="0">
      <selection activeCell="F27" sqref="F27"/>
    </sheetView>
  </sheetViews>
  <sheetFormatPr baseColWidth="10" defaultColWidth="18.140625" defaultRowHeight="15.75" customHeight="1" x14ac:dyDescent="0.25"/>
  <cols>
    <col min="1" max="1" width="11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65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06 2026 '!H25</f>
        <v>-1625429.44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46208</v>
      </c>
      <c r="B12" s="10">
        <v>14106438</v>
      </c>
      <c r="C12" s="11" t="s">
        <v>32</v>
      </c>
      <c r="D12" s="12" t="s">
        <v>17</v>
      </c>
      <c r="E12" s="12" t="s">
        <v>109</v>
      </c>
      <c r="F12" s="10">
        <v>14106438</v>
      </c>
      <c r="G12" s="11" t="s">
        <v>32</v>
      </c>
      <c r="H12" s="13">
        <v>30000</v>
      </c>
      <c r="I12" s="1"/>
    </row>
    <row r="13" spans="1:9" ht="15.75" customHeight="1" x14ac:dyDescent="0.25">
      <c r="A13" s="9">
        <v>46208</v>
      </c>
      <c r="B13" s="10">
        <v>13239826</v>
      </c>
      <c r="C13" s="11" t="s">
        <v>8</v>
      </c>
      <c r="D13" s="12" t="s">
        <v>9</v>
      </c>
      <c r="E13" s="12" t="s">
        <v>110</v>
      </c>
      <c r="F13" s="10">
        <v>13239826</v>
      </c>
      <c r="G13" s="11" t="s">
        <v>8</v>
      </c>
      <c r="H13" s="13">
        <v>19600</v>
      </c>
      <c r="I13" s="1"/>
    </row>
    <row r="14" spans="1:9" ht="15.75" customHeight="1" x14ac:dyDescent="0.25">
      <c r="A14" s="9">
        <v>46208</v>
      </c>
      <c r="B14" s="10">
        <v>65777220</v>
      </c>
      <c r="C14" s="11" t="s">
        <v>30</v>
      </c>
      <c r="D14" s="12" t="s">
        <v>31</v>
      </c>
      <c r="E14" s="12" t="s">
        <v>111</v>
      </c>
      <c r="F14" s="10">
        <v>65777220</v>
      </c>
      <c r="G14" s="11" t="s">
        <v>30</v>
      </c>
      <c r="H14" s="13">
        <v>30000</v>
      </c>
      <c r="I14" s="1"/>
    </row>
    <row r="15" spans="1:9" ht="15.75" customHeight="1" x14ac:dyDescent="0.25">
      <c r="A15" s="9">
        <v>46208</v>
      </c>
      <c r="B15" s="10">
        <v>1234638696</v>
      </c>
      <c r="C15" s="11" t="s">
        <v>40</v>
      </c>
      <c r="D15" s="12" t="s">
        <v>41</v>
      </c>
      <c r="E15" s="12" t="s">
        <v>112</v>
      </c>
      <c r="F15" s="10">
        <v>1234638696</v>
      </c>
      <c r="G15" s="11" t="s">
        <v>40</v>
      </c>
      <c r="H15" s="13">
        <v>10200</v>
      </c>
      <c r="I15" s="1"/>
    </row>
    <row r="16" spans="1:9" ht="15.75" customHeight="1" x14ac:dyDescent="0.25">
      <c r="A16" s="9">
        <v>46208</v>
      </c>
      <c r="B16" s="10">
        <v>14106438</v>
      </c>
      <c r="C16" s="11" t="s">
        <v>32</v>
      </c>
      <c r="D16" s="12" t="s">
        <v>17</v>
      </c>
      <c r="E16" s="12" t="s">
        <v>109</v>
      </c>
      <c r="F16" s="10">
        <v>14106438</v>
      </c>
      <c r="G16" s="11" t="s">
        <v>32</v>
      </c>
      <c r="H16" s="13">
        <v>30000</v>
      </c>
      <c r="I16" s="1"/>
    </row>
    <row r="17" spans="1:9" ht="15.75" customHeight="1" x14ac:dyDescent="0.25">
      <c r="A17" s="9">
        <v>46208</v>
      </c>
      <c r="B17" s="10">
        <v>65737477</v>
      </c>
      <c r="C17" s="11" t="s">
        <v>18</v>
      </c>
      <c r="D17" s="12" t="s">
        <v>9</v>
      </c>
      <c r="E17" s="12" t="s">
        <v>113</v>
      </c>
      <c r="F17" s="10">
        <v>65737477</v>
      </c>
      <c r="G17" s="11" t="s">
        <v>18</v>
      </c>
      <c r="H17" s="13">
        <v>6000</v>
      </c>
      <c r="I17" s="1"/>
    </row>
    <row r="18" spans="1:9" ht="15.75" customHeight="1" x14ac:dyDescent="0.25">
      <c r="A18" s="9">
        <v>46208</v>
      </c>
      <c r="B18" s="10">
        <v>65777220</v>
      </c>
      <c r="C18" s="11" t="s">
        <v>30</v>
      </c>
      <c r="D18" s="12" t="s">
        <v>31</v>
      </c>
      <c r="E18" s="12" t="s">
        <v>114</v>
      </c>
      <c r="F18" s="10">
        <v>65777220</v>
      </c>
      <c r="G18" s="11" t="s">
        <v>30</v>
      </c>
      <c r="H18" s="13">
        <v>25000</v>
      </c>
      <c r="I18" s="1"/>
    </row>
    <row r="19" spans="1:9" ht="15.75" customHeight="1" x14ac:dyDescent="0.25">
      <c r="A19" s="9">
        <v>46178</v>
      </c>
      <c r="B19" s="10">
        <v>65777220</v>
      </c>
      <c r="C19" s="11" t="s">
        <v>30</v>
      </c>
      <c r="D19" s="12" t="s">
        <v>31</v>
      </c>
      <c r="E19" s="12" t="s">
        <v>115</v>
      </c>
      <c r="F19" s="10" t="s">
        <v>116</v>
      </c>
      <c r="G19" s="11" t="s">
        <v>117</v>
      </c>
      <c r="H19" s="13">
        <v>40500</v>
      </c>
      <c r="I19" s="1"/>
    </row>
    <row r="20" spans="1:9" ht="15.75" customHeight="1" x14ac:dyDescent="0.25">
      <c r="A20" s="9">
        <v>46178</v>
      </c>
      <c r="B20" s="10">
        <v>1005838694</v>
      </c>
      <c r="C20" s="11" t="s">
        <v>118</v>
      </c>
      <c r="D20" s="12" t="s">
        <v>119</v>
      </c>
      <c r="E20" s="12" t="s">
        <v>120</v>
      </c>
      <c r="F20" s="10" t="s">
        <v>121</v>
      </c>
      <c r="G20" s="11" t="s">
        <v>122</v>
      </c>
      <c r="H20" s="13">
        <v>12100</v>
      </c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203400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-1828829.44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DAC0-99AE-42A9-BE66-66E7DBB82FD7}">
  <sheetPr>
    <pageSetUpPr fitToPage="1"/>
  </sheetPr>
  <dimension ref="A1:I52"/>
  <sheetViews>
    <sheetView zoomScale="85" zoomScaleNormal="85" workbookViewId="0">
      <selection activeCell="H25" sqref="H25"/>
    </sheetView>
  </sheetViews>
  <sheetFormatPr baseColWidth="10" defaultColWidth="18.140625" defaultRowHeight="15.75" customHeight="1" x14ac:dyDescent="0.25"/>
  <cols>
    <col min="1" max="1" width="11.85546875" bestFit="1" customWidth="1"/>
    <col min="2" max="2" width="18.42578125" bestFit="1" customWidth="1"/>
    <col min="3" max="3" width="27" bestFit="1" customWidth="1"/>
    <col min="4" max="4" width="20.140625" bestFit="1" customWidth="1"/>
    <col min="5" max="5" width="65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07 2026  '!H25</f>
        <v>-1828829.44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46239</v>
      </c>
      <c r="B12" s="10">
        <v>1006123077</v>
      </c>
      <c r="C12" s="11" t="s">
        <v>38</v>
      </c>
      <c r="D12" s="12" t="s">
        <v>39</v>
      </c>
      <c r="E12" s="12" t="s">
        <v>123</v>
      </c>
      <c r="F12" s="10">
        <v>1006123077</v>
      </c>
      <c r="G12" s="11" t="s">
        <v>38</v>
      </c>
      <c r="H12" s="13">
        <v>14100</v>
      </c>
      <c r="I12" s="1"/>
    </row>
    <row r="13" spans="1:9" ht="15.75" customHeight="1" x14ac:dyDescent="0.25">
      <c r="A13" s="9">
        <v>46239</v>
      </c>
      <c r="B13" s="10">
        <v>13239826</v>
      </c>
      <c r="C13" s="11" t="s">
        <v>8</v>
      </c>
      <c r="D13" s="12" t="s">
        <v>9</v>
      </c>
      <c r="E13" s="12" t="s">
        <v>124</v>
      </c>
      <c r="F13" s="10">
        <v>13239826</v>
      </c>
      <c r="G13" s="11" t="s">
        <v>8</v>
      </c>
      <c r="H13" s="13">
        <v>14000</v>
      </c>
      <c r="I13" s="1"/>
    </row>
    <row r="14" spans="1:9" ht="15.75" customHeight="1" x14ac:dyDescent="0.25">
      <c r="A14" s="9">
        <v>46239</v>
      </c>
      <c r="B14" s="10">
        <v>13239826</v>
      </c>
      <c r="C14" s="11" t="s">
        <v>8</v>
      </c>
      <c r="D14" s="12" t="s">
        <v>9</v>
      </c>
      <c r="E14" s="12" t="s">
        <v>74</v>
      </c>
      <c r="F14" s="10" t="s">
        <v>125</v>
      </c>
      <c r="G14" s="11" t="s">
        <v>126</v>
      </c>
      <c r="H14" s="13">
        <v>1900</v>
      </c>
      <c r="I14" s="1"/>
    </row>
    <row r="15" spans="1:9" ht="15.75" customHeight="1" x14ac:dyDescent="0.25">
      <c r="A15" s="9">
        <v>46239</v>
      </c>
      <c r="B15" s="10">
        <v>13239826</v>
      </c>
      <c r="C15" s="11" t="s">
        <v>8</v>
      </c>
      <c r="D15" s="12" t="s">
        <v>9</v>
      </c>
      <c r="E15" s="12" t="s">
        <v>74</v>
      </c>
      <c r="F15" s="10" t="s">
        <v>127</v>
      </c>
      <c r="G15" s="11" t="s">
        <v>128</v>
      </c>
      <c r="H15" s="13">
        <v>1900</v>
      </c>
      <c r="I15" s="1"/>
    </row>
    <row r="16" spans="1:9" ht="15.75" customHeight="1" x14ac:dyDescent="0.25">
      <c r="A16" s="9">
        <v>46239</v>
      </c>
      <c r="B16" s="10">
        <v>65737477</v>
      </c>
      <c r="C16" s="11" t="s">
        <v>18</v>
      </c>
      <c r="D16" s="12" t="s">
        <v>9</v>
      </c>
      <c r="E16" s="12" t="s">
        <v>129</v>
      </c>
      <c r="F16" s="10" t="s">
        <v>107</v>
      </c>
      <c r="G16" s="11" t="s">
        <v>130</v>
      </c>
      <c r="H16" s="13">
        <v>14400</v>
      </c>
      <c r="I16" s="1"/>
    </row>
    <row r="17" spans="1:9" ht="15.75" customHeight="1" x14ac:dyDescent="0.25">
      <c r="A17" s="9"/>
      <c r="B17" s="10"/>
      <c r="C17" s="11"/>
      <c r="D17" s="12"/>
      <c r="E17" s="12"/>
      <c r="F17" s="10"/>
      <c r="G17" s="11"/>
      <c r="H17" s="13"/>
      <c r="I17" s="1"/>
    </row>
    <row r="18" spans="1:9" ht="15.75" customHeight="1" x14ac:dyDescent="0.25">
      <c r="A18" s="9"/>
      <c r="B18" s="10"/>
      <c r="C18" s="11"/>
      <c r="D18" s="12"/>
      <c r="E18" s="12"/>
      <c r="F18" s="10"/>
      <c r="G18" s="11"/>
      <c r="H18" s="13"/>
      <c r="I18" s="1"/>
    </row>
    <row r="19" spans="1:9" ht="15.75" customHeight="1" x14ac:dyDescent="0.25">
      <c r="A19" s="9"/>
      <c r="B19" s="10"/>
      <c r="C19" s="11"/>
      <c r="D19" s="12"/>
      <c r="E19" s="12"/>
      <c r="F19" s="10"/>
      <c r="G19" s="11"/>
      <c r="H19" s="13"/>
      <c r="I19" s="1"/>
    </row>
    <row r="20" spans="1:9" ht="15.75" customHeight="1" x14ac:dyDescent="0.25">
      <c r="A20" s="9"/>
      <c r="B20" s="10"/>
      <c r="C20" s="11"/>
      <c r="D20" s="12"/>
      <c r="E20" s="12"/>
      <c r="F20" s="10"/>
      <c r="G20" s="11"/>
      <c r="H20" s="13"/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46300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-1875129.44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5D88-4F7A-4F3C-91FC-F11A16A49E0E}">
  <sheetPr>
    <pageSetUpPr fitToPage="1"/>
  </sheetPr>
  <dimension ref="A1:I52"/>
  <sheetViews>
    <sheetView topLeftCell="C1" zoomScale="85" zoomScaleNormal="85" workbookViewId="0">
      <selection activeCell="B19" sqref="B19:D19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20.140625" bestFit="1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09 2026 '!H25</f>
        <v>-1970729.44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46331</v>
      </c>
      <c r="B12" s="10">
        <v>65737477</v>
      </c>
      <c r="C12" s="11" t="s">
        <v>18</v>
      </c>
      <c r="D12" s="12" t="s">
        <v>9</v>
      </c>
      <c r="E12" s="12" t="s">
        <v>131</v>
      </c>
      <c r="F12" s="10">
        <v>65737477</v>
      </c>
      <c r="G12" s="11" t="s">
        <v>18</v>
      </c>
      <c r="H12" s="13">
        <v>38800</v>
      </c>
      <c r="I12" s="1"/>
    </row>
    <row r="13" spans="1:9" ht="15.75" customHeight="1" x14ac:dyDescent="0.25">
      <c r="A13" s="9">
        <v>46331</v>
      </c>
      <c r="B13" s="10">
        <v>65737477</v>
      </c>
      <c r="C13" s="11" t="s">
        <v>18</v>
      </c>
      <c r="D13" s="12" t="s">
        <v>9</v>
      </c>
      <c r="E13" s="12" t="s">
        <v>132</v>
      </c>
      <c r="F13" s="10">
        <v>65737477</v>
      </c>
      <c r="G13" s="11" t="s">
        <v>18</v>
      </c>
      <c r="H13" s="13">
        <v>18700</v>
      </c>
      <c r="I13" s="1"/>
    </row>
    <row r="14" spans="1:9" ht="15.75" customHeight="1" x14ac:dyDescent="0.25">
      <c r="A14" s="9">
        <v>46331</v>
      </c>
      <c r="B14" s="10">
        <v>65737477</v>
      </c>
      <c r="C14" s="11" t="s">
        <v>18</v>
      </c>
      <c r="D14" s="12" t="s">
        <v>9</v>
      </c>
      <c r="E14" s="12" t="s">
        <v>133</v>
      </c>
      <c r="F14" s="10">
        <v>65737477</v>
      </c>
      <c r="G14" s="11" t="s">
        <v>18</v>
      </c>
      <c r="H14" s="13">
        <v>39000</v>
      </c>
      <c r="I14" s="1"/>
    </row>
    <row r="15" spans="1:9" ht="15.75" customHeight="1" x14ac:dyDescent="0.25">
      <c r="A15" s="9">
        <v>46331</v>
      </c>
      <c r="B15" s="10">
        <v>11105944298</v>
      </c>
      <c r="C15" s="11" t="s">
        <v>134</v>
      </c>
      <c r="D15" s="12" t="s">
        <v>135</v>
      </c>
      <c r="E15" s="12" t="s">
        <v>136</v>
      </c>
      <c r="F15" s="10">
        <v>11105944298</v>
      </c>
      <c r="G15" s="11" t="s">
        <v>134</v>
      </c>
      <c r="H15" s="13">
        <v>36000</v>
      </c>
      <c r="I15" s="1"/>
    </row>
    <row r="16" spans="1:9" ht="15.75" customHeight="1" x14ac:dyDescent="0.25">
      <c r="A16" s="9">
        <v>46331</v>
      </c>
      <c r="B16" s="10">
        <v>11105944298</v>
      </c>
      <c r="C16" s="11" t="s">
        <v>134</v>
      </c>
      <c r="D16" s="12" t="s">
        <v>135</v>
      </c>
      <c r="E16" s="12" t="s">
        <v>136</v>
      </c>
      <c r="F16" s="10">
        <v>11105944298</v>
      </c>
      <c r="G16" s="11" t="s">
        <v>134</v>
      </c>
      <c r="H16" s="13">
        <v>36000</v>
      </c>
      <c r="I16" s="1"/>
    </row>
    <row r="17" spans="1:9" ht="15.75" customHeight="1" x14ac:dyDescent="0.25">
      <c r="A17" s="9">
        <v>46331</v>
      </c>
      <c r="B17" s="10">
        <v>11105944298</v>
      </c>
      <c r="C17" s="11" t="s">
        <v>134</v>
      </c>
      <c r="D17" s="12" t="s">
        <v>135</v>
      </c>
      <c r="E17" s="12" t="s">
        <v>136</v>
      </c>
      <c r="F17" s="10">
        <v>11105944298</v>
      </c>
      <c r="G17" s="11" t="s">
        <v>134</v>
      </c>
      <c r="H17" s="13">
        <v>24000</v>
      </c>
      <c r="I17" s="1"/>
    </row>
    <row r="18" spans="1:9" ht="15.75" customHeight="1" x14ac:dyDescent="0.25">
      <c r="A18" s="9">
        <v>46331</v>
      </c>
      <c r="B18" s="10">
        <v>1234638696</v>
      </c>
      <c r="C18" s="11" t="s">
        <v>40</v>
      </c>
      <c r="D18" s="12" t="s">
        <v>41</v>
      </c>
      <c r="E18" s="12" t="s">
        <v>137</v>
      </c>
      <c r="F18" s="10">
        <v>1234638696</v>
      </c>
      <c r="G18" s="11" t="s">
        <v>40</v>
      </c>
      <c r="H18" s="13">
        <v>42000</v>
      </c>
      <c r="I18" s="1"/>
    </row>
    <row r="19" spans="1:9" ht="15.75" customHeight="1" x14ac:dyDescent="0.25">
      <c r="A19" s="9">
        <v>46331</v>
      </c>
      <c r="B19" s="10">
        <v>1110472296</v>
      </c>
      <c r="C19" s="11" t="s">
        <v>138</v>
      </c>
      <c r="D19" s="12" t="s">
        <v>139</v>
      </c>
      <c r="E19" s="12" t="s">
        <v>140</v>
      </c>
      <c r="F19" s="10">
        <v>1110472296</v>
      </c>
      <c r="G19" s="11" t="s">
        <v>138</v>
      </c>
      <c r="H19" s="13">
        <v>10000</v>
      </c>
      <c r="I19" s="1"/>
    </row>
    <row r="20" spans="1:9" ht="15.75" customHeight="1" x14ac:dyDescent="0.25">
      <c r="A20" s="9">
        <v>46331</v>
      </c>
      <c r="B20" s="10">
        <v>1110472296</v>
      </c>
      <c r="C20" s="11" t="s">
        <v>138</v>
      </c>
      <c r="D20" s="12" t="s">
        <v>139</v>
      </c>
      <c r="E20" s="12" t="s">
        <v>141</v>
      </c>
      <c r="F20" s="10" t="s">
        <v>142</v>
      </c>
      <c r="G20" s="11" t="s">
        <v>143</v>
      </c>
      <c r="H20" s="13">
        <v>25000</v>
      </c>
      <c r="I20" s="1"/>
    </row>
    <row r="21" spans="1:9" ht="15.75" customHeight="1" x14ac:dyDescent="0.25">
      <c r="A21" s="9">
        <v>46331</v>
      </c>
      <c r="B21" s="10">
        <v>13239826</v>
      </c>
      <c r="C21" s="11" t="s">
        <v>8</v>
      </c>
      <c r="D21" s="12" t="s">
        <v>9</v>
      </c>
      <c r="E21" s="12" t="s">
        <v>74</v>
      </c>
      <c r="F21" s="10" t="s">
        <v>144</v>
      </c>
      <c r="G21" s="11" t="s">
        <v>145</v>
      </c>
      <c r="H21" s="13">
        <v>1900</v>
      </c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271400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-2242129.44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2795-7A49-47A8-89A1-FA53B8A4FCBF}">
  <sheetPr>
    <pageSetUpPr fitToPage="1"/>
  </sheetPr>
  <dimension ref="A1:I52"/>
  <sheetViews>
    <sheetView zoomScale="85" zoomScaleNormal="85" workbookViewId="0">
      <selection activeCell="H25" sqref="H25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20.140625" bestFit="1" customWidth="1"/>
    <col min="5" max="5" width="65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08 2026  '!H25</f>
        <v>-1875129.44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46270</v>
      </c>
      <c r="B12" s="10">
        <v>13239826</v>
      </c>
      <c r="C12" s="11" t="s">
        <v>8</v>
      </c>
      <c r="D12" s="12" t="s">
        <v>9</v>
      </c>
      <c r="E12" s="12" t="s">
        <v>146</v>
      </c>
      <c r="F12" s="10">
        <v>13239826</v>
      </c>
      <c r="G12" s="11" t="s">
        <v>8</v>
      </c>
      <c r="H12" s="13">
        <v>14000</v>
      </c>
      <c r="I12" s="1"/>
    </row>
    <row r="13" spans="1:9" ht="15.75" customHeight="1" x14ac:dyDescent="0.25">
      <c r="A13" s="9">
        <v>46270</v>
      </c>
      <c r="B13" s="10">
        <v>13239826</v>
      </c>
      <c r="C13" s="11" t="s">
        <v>8</v>
      </c>
      <c r="D13" s="12" t="s">
        <v>9</v>
      </c>
      <c r="E13" s="12" t="s">
        <v>147</v>
      </c>
      <c r="F13" s="10">
        <v>13239826</v>
      </c>
      <c r="G13" s="11" t="s">
        <v>8</v>
      </c>
      <c r="H13" s="13">
        <v>30000</v>
      </c>
      <c r="I13" s="1"/>
    </row>
    <row r="14" spans="1:9" ht="15.75" customHeight="1" x14ac:dyDescent="0.25">
      <c r="A14" s="9">
        <v>46270</v>
      </c>
      <c r="B14" s="10">
        <v>1234638696</v>
      </c>
      <c r="C14" s="11" t="s">
        <v>40</v>
      </c>
      <c r="D14" s="12" t="s">
        <v>41</v>
      </c>
      <c r="E14" s="12" t="s">
        <v>148</v>
      </c>
      <c r="F14" s="10" t="s">
        <v>20</v>
      </c>
      <c r="G14" s="11" t="s">
        <v>21</v>
      </c>
      <c r="H14" s="13">
        <v>17100</v>
      </c>
      <c r="I14" s="1"/>
    </row>
    <row r="15" spans="1:9" ht="15.75" customHeight="1" x14ac:dyDescent="0.25">
      <c r="A15" s="9">
        <v>46270</v>
      </c>
      <c r="B15" s="10">
        <v>65737477</v>
      </c>
      <c r="C15" s="11" t="s">
        <v>18</v>
      </c>
      <c r="D15" s="12" t="s">
        <v>9</v>
      </c>
      <c r="E15" s="12" t="s">
        <v>149</v>
      </c>
      <c r="F15" s="10" t="s">
        <v>150</v>
      </c>
      <c r="G15" s="11" t="s">
        <v>151</v>
      </c>
      <c r="H15" s="13">
        <v>34500</v>
      </c>
      <c r="I15" s="1"/>
    </row>
    <row r="16" spans="1:9" ht="15.75" customHeight="1" x14ac:dyDescent="0.25">
      <c r="A16" s="9"/>
      <c r="B16" s="10"/>
      <c r="C16" s="11"/>
      <c r="D16" s="12"/>
      <c r="E16" s="12"/>
      <c r="F16" s="10"/>
      <c r="G16" s="11"/>
      <c r="H16" s="13"/>
      <c r="I16" s="1"/>
    </row>
    <row r="17" spans="1:9" ht="15.75" customHeight="1" x14ac:dyDescent="0.25">
      <c r="A17" s="9"/>
      <c r="B17" s="10"/>
      <c r="C17" s="11"/>
      <c r="D17" s="12"/>
      <c r="E17" s="12"/>
      <c r="F17" s="10"/>
      <c r="G17" s="11"/>
      <c r="H17" s="13"/>
      <c r="I17" s="1"/>
    </row>
    <row r="18" spans="1:9" ht="15.75" customHeight="1" x14ac:dyDescent="0.25">
      <c r="A18" s="9"/>
      <c r="B18" s="10"/>
      <c r="C18" s="11"/>
      <c r="D18" s="12"/>
      <c r="E18" s="12"/>
      <c r="F18" s="10"/>
      <c r="G18" s="11"/>
      <c r="H18" s="13"/>
      <c r="I18" s="1"/>
    </row>
    <row r="19" spans="1:9" ht="15.75" customHeight="1" x14ac:dyDescent="0.25">
      <c r="A19" s="9"/>
      <c r="B19" s="10"/>
      <c r="C19" s="11"/>
      <c r="D19" s="12"/>
      <c r="E19" s="12"/>
      <c r="F19" s="10"/>
      <c r="G19" s="11"/>
      <c r="H19" s="13"/>
      <c r="I19" s="1"/>
    </row>
    <row r="20" spans="1:9" ht="15.75" customHeight="1" x14ac:dyDescent="0.25">
      <c r="A20" s="9"/>
      <c r="B20" s="10"/>
      <c r="C20" s="11"/>
      <c r="D20" s="12"/>
      <c r="E20" s="12"/>
      <c r="F20" s="10"/>
      <c r="G20" s="11"/>
      <c r="H20" s="13"/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95600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-1970729.44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E3DB-BC62-4E76-BA29-93502C6D768A}">
  <sheetPr>
    <pageSetUpPr fitToPage="1"/>
  </sheetPr>
  <dimension ref="A1:I52"/>
  <sheetViews>
    <sheetView topLeftCell="C1" zoomScale="85" zoomScaleNormal="85" workbookViewId="0">
      <selection activeCell="G29" sqref="G29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20.140625" bestFit="1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11 2026  '!H25</f>
        <v>-2242129.44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>
        <v>46361</v>
      </c>
      <c r="B12" s="10">
        <v>5927717</v>
      </c>
      <c r="C12" s="11" t="s">
        <v>152</v>
      </c>
      <c r="D12" s="12" t="s">
        <v>135</v>
      </c>
      <c r="E12" s="12" t="s">
        <v>153</v>
      </c>
      <c r="F12" s="10">
        <v>5927717</v>
      </c>
      <c r="G12" s="11" t="s">
        <v>152</v>
      </c>
      <c r="H12" s="13">
        <v>28000</v>
      </c>
      <c r="I12" s="1"/>
    </row>
    <row r="13" spans="1:9" ht="15.75" customHeight="1" x14ac:dyDescent="0.25">
      <c r="A13" s="9">
        <v>46361</v>
      </c>
      <c r="B13" s="10">
        <v>5927717</v>
      </c>
      <c r="C13" s="11" t="s">
        <v>152</v>
      </c>
      <c r="D13" s="12" t="s">
        <v>135</v>
      </c>
      <c r="E13" s="12" t="s">
        <v>153</v>
      </c>
      <c r="F13" s="10">
        <v>5927717</v>
      </c>
      <c r="G13" s="11" t="s">
        <v>152</v>
      </c>
      <c r="H13" s="13">
        <v>28000</v>
      </c>
      <c r="I13" s="1"/>
    </row>
    <row r="14" spans="1:9" ht="15.75" customHeight="1" x14ac:dyDescent="0.25">
      <c r="A14" s="9">
        <v>46361</v>
      </c>
      <c r="B14" s="10">
        <v>5927717</v>
      </c>
      <c r="C14" s="11" t="s">
        <v>152</v>
      </c>
      <c r="D14" s="12" t="s">
        <v>135</v>
      </c>
      <c r="E14" s="12" t="s">
        <v>153</v>
      </c>
      <c r="F14" s="10">
        <v>5927717</v>
      </c>
      <c r="G14" s="11" t="s">
        <v>152</v>
      </c>
      <c r="H14" s="13">
        <v>26000</v>
      </c>
      <c r="I14" s="1"/>
    </row>
    <row r="15" spans="1:9" ht="15.75" customHeight="1" x14ac:dyDescent="0.25">
      <c r="A15" s="9">
        <v>46361</v>
      </c>
      <c r="B15" s="10">
        <v>65762110</v>
      </c>
      <c r="C15" s="11" t="s">
        <v>16</v>
      </c>
      <c r="D15" s="12" t="s">
        <v>17</v>
      </c>
      <c r="E15" s="12" t="s">
        <v>137</v>
      </c>
      <c r="F15" s="10">
        <v>65762110</v>
      </c>
      <c r="G15" s="11" t="s">
        <v>16</v>
      </c>
      <c r="H15" s="13">
        <v>10000</v>
      </c>
      <c r="I15" s="1"/>
    </row>
    <row r="16" spans="1:9" ht="15.75" customHeight="1" x14ac:dyDescent="0.25">
      <c r="A16" s="9">
        <v>46361</v>
      </c>
      <c r="B16" s="10">
        <v>1000775862</v>
      </c>
      <c r="C16" s="11" t="s">
        <v>42</v>
      </c>
      <c r="D16" s="12" t="s">
        <v>41</v>
      </c>
      <c r="E16" s="12" t="s">
        <v>153</v>
      </c>
      <c r="F16" s="10">
        <v>1000775862</v>
      </c>
      <c r="G16" s="11" t="s">
        <v>42</v>
      </c>
      <c r="H16" s="13">
        <v>32000</v>
      </c>
      <c r="I16" s="1"/>
    </row>
    <row r="17" spans="1:9" ht="15.75" customHeight="1" x14ac:dyDescent="0.25">
      <c r="A17" s="9">
        <v>46361</v>
      </c>
      <c r="B17" s="10">
        <v>1000775862</v>
      </c>
      <c r="C17" s="11" t="s">
        <v>42</v>
      </c>
      <c r="D17" s="12" t="s">
        <v>41</v>
      </c>
      <c r="E17" s="12" t="s">
        <v>153</v>
      </c>
      <c r="F17" s="10">
        <v>1000775862</v>
      </c>
      <c r="G17" s="11" t="s">
        <v>42</v>
      </c>
      <c r="H17" s="13">
        <v>32000</v>
      </c>
      <c r="I17" s="1"/>
    </row>
    <row r="18" spans="1:9" ht="15.75" customHeight="1" x14ac:dyDescent="0.25">
      <c r="A18" s="9">
        <v>46361</v>
      </c>
      <c r="B18" s="10">
        <v>65737477</v>
      </c>
      <c r="C18" s="11" t="s">
        <v>18</v>
      </c>
      <c r="D18" s="12" t="s">
        <v>9</v>
      </c>
      <c r="E18" s="12" t="s">
        <v>154</v>
      </c>
      <c r="F18" s="10">
        <v>65737477</v>
      </c>
      <c r="G18" s="11" t="s">
        <v>18</v>
      </c>
      <c r="H18" s="13">
        <v>7000</v>
      </c>
      <c r="I18" s="1"/>
    </row>
    <row r="19" spans="1:9" ht="15.75" customHeight="1" x14ac:dyDescent="0.25">
      <c r="A19" s="9">
        <v>46361</v>
      </c>
      <c r="B19" s="10">
        <v>1110472296</v>
      </c>
      <c r="C19" s="11" t="s">
        <v>138</v>
      </c>
      <c r="D19" s="12" t="s">
        <v>139</v>
      </c>
      <c r="E19" s="12" t="s">
        <v>155</v>
      </c>
      <c r="F19" s="10">
        <v>1110472296</v>
      </c>
      <c r="G19" s="11" t="s">
        <v>138</v>
      </c>
      <c r="H19" s="13">
        <v>20000</v>
      </c>
      <c r="I19" s="1"/>
    </row>
    <row r="20" spans="1:9" ht="15.75" customHeight="1" x14ac:dyDescent="0.25">
      <c r="A20" s="9">
        <v>46361</v>
      </c>
      <c r="B20" s="10">
        <v>65737477</v>
      </c>
      <c r="C20" s="11" t="s">
        <v>18</v>
      </c>
      <c r="D20" s="12" t="s">
        <v>9</v>
      </c>
      <c r="E20" s="12" t="s">
        <v>156</v>
      </c>
      <c r="F20" s="10">
        <v>12111653</v>
      </c>
      <c r="G20" s="11" t="s">
        <v>157</v>
      </c>
      <c r="H20" s="13">
        <v>30000</v>
      </c>
      <c r="I20" s="1"/>
    </row>
    <row r="21" spans="1:9" ht="15.75" customHeight="1" x14ac:dyDescent="0.25">
      <c r="A21" s="9">
        <v>46361</v>
      </c>
      <c r="B21" s="10">
        <v>65737477</v>
      </c>
      <c r="C21" s="11" t="s">
        <v>18</v>
      </c>
      <c r="D21" s="12" t="s">
        <v>9</v>
      </c>
      <c r="E21" s="12" t="s">
        <v>158</v>
      </c>
      <c r="F21" s="10" t="s">
        <v>20</v>
      </c>
      <c r="G21" s="11" t="s">
        <v>21</v>
      </c>
      <c r="H21" s="13">
        <v>17410</v>
      </c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230410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-2472539.44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090E-F186-4AE5-8546-F76D05E7865C}">
  <sheetPr>
    <pageSetUpPr fitToPage="1"/>
  </sheetPr>
  <dimension ref="A1:I52"/>
  <sheetViews>
    <sheetView topLeftCell="C1" zoomScale="85" zoomScaleNormal="85" workbookViewId="0">
      <selection activeCell="F17" sqref="F17:G17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20.140625" bestFit="1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12 2026 '!H25</f>
        <v>-2472539.44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 t="s">
        <v>159</v>
      </c>
      <c r="B12" s="10">
        <v>1110442630</v>
      </c>
      <c r="C12" s="11" t="s">
        <v>44</v>
      </c>
      <c r="D12" s="12" t="s">
        <v>34</v>
      </c>
      <c r="E12" s="12" t="s">
        <v>153</v>
      </c>
      <c r="F12" s="10">
        <v>1110442630</v>
      </c>
      <c r="G12" s="11" t="s">
        <v>44</v>
      </c>
      <c r="H12" s="13">
        <v>48000</v>
      </c>
      <c r="I12" s="1"/>
    </row>
    <row r="13" spans="1:9" ht="15.75" customHeight="1" x14ac:dyDescent="0.25">
      <c r="A13" s="9" t="s">
        <v>159</v>
      </c>
      <c r="B13" s="10">
        <v>1110442630</v>
      </c>
      <c r="C13" s="11" t="s">
        <v>44</v>
      </c>
      <c r="D13" s="12" t="s">
        <v>34</v>
      </c>
      <c r="E13" s="12" t="s">
        <v>153</v>
      </c>
      <c r="F13" s="10">
        <v>1110442630</v>
      </c>
      <c r="G13" s="11" t="s">
        <v>44</v>
      </c>
      <c r="H13" s="13">
        <v>18000</v>
      </c>
      <c r="I13" s="1"/>
    </row>
    <row r="14" spans="1:9" ht="15.75" customHeight="1" x14ac:dyDescent="0.25">
      <c r="A14" s="9" t="s">
        <v>159</v>
      </c>
      <c r="B14" s="10">
        <v>65777220</v>
      </c>
      <c r="C14" s="11" t="s">
        <v>30</v>
      </c>
      <c r="D14" s="12" t="s">
        <v>31</v>
      </c>
      <c r="E14" s="12" t="s">
        <v>160</v>
      </c>
      <c r="F14" s="10">
        <v>65777220</v>
      </c>
      <c r="G14" s="11" t="s">
        <v>30</v>
      </c>
      <c r="H14" s="13">
        <v>40000</v>
      </c>
      <c r="I14" s="1"/>
    </row>
    <row r="15" spans="1:9" ht="15.75" customHeight="1" x14ac:dyDescent="0.25">
      <c r="A15" s="9" t="s">
        <v>159</v>
      </c>
      <c r="B15" s="10">
        <v>65737477</v>
      </c>
      <c r="C15" s="11" t="s">
        <v>18</v>
      </c>
      <c r="D15" s="12" t="s">
        <v>9</v>
      </c>
      <c r="E15" s="12" t="s">
        <v>161</v>
      </c>
      <c r="F15" s="10">
        <v>65737477</v>
      </c>
      <c r="G15" s="11" t="s">
        <v>18</v>
      </c>
      <c r="H15" s="13">
        <v>26000</v>
      </c>
      <c r="I15" s="1"/>
    </row>
    <row r="16" spans="1:9" ht="15.75" customHeight="1" x14ac:dyDescent="0.25">
      <c r="A16" s="9" t="s">
        <v>159</v>
      </c>
      <c r="B16" s="10">
        <v>65737477</v>
      </c>
      <c r="C16" s="11" t="s">
        <v>18</v>
      </c>
      <c r="D16" s="12" t="s">
        <v>9</v>
      </c>
      <c r="E16" s="12" t="s">
        <v>161</v>
      </c>
      <c r="F16" s="10">
        <v>65737477</v>
      </c>
      <c r="G16" s="11" t="s">
        <v>18</v>
      </c>
      <c r="H16" s="13">
        <v>26000</v>
      </c>
      <c r="I16" s="1"/>
    </row>
    <row r="17" spans="1:9" ht="15.75" customHeight="1" x14ac:dyDescent="0.25">
      <c r="A17" s="9" t="s">
        <v>159</v>
      </c>
      <c r="B17" s="10">
        <v>65762110</v>
      </c>
      <c r="C17" s="11" t="s">
        <v>16</v>
      </c>
      <c r="D17" s="12" t="s">
        <v>17</v>
      </c>
      <c r="E17" s="12" t="s">
        <v>162</v>
      </c>
      <c r="F17" s="10">
        <v>800251569</v>
      </c>
      <c r="G17" s="11" t="s">
        <v>163</v>
      </c>
      <c r="H17" s="13">
        <v>43700</v>
      </c>
      <c r="I17" s="1"/>
    </row>
    <row r="18" spans="1:9" ht="15.75" customHeight="1" x14ac:dyDescent="0.25">
      <c r="A18" s="9" t="s">
        <v>159</v>
      </c>
      <c r="B18" s="10">
        <v>65777220</v>
      </c>
      <c r="C18" s="11" t="s">
        <v>30</v>
      </c>
      <c r="D18" s="12" t="s">
        <v>31</v>
      </c>
      <c r="E18" s="12" t="s">
        <v>164</v>
      </c>
      <c r="F18" s="10" t="s">
        <v>165</v>
      </c>
      <c r="G18" s="11" t="s">
        <v>166</v>
      </c>
      <c r="H18" s="13">
        <v>31500</v>
      </c>
      <c r="I18" s="1"/>
    </row>
    <row r="19" spans="1:9" ht="15.75" customHeight="1" x14ac:dyDescent="0.25">
      <c r="A19" s="9" t="s">
        <v>159</v>
      </c>
      <c r="B19" s="10">
        <v>13239826</v>
      </c>
      <c r="C19" s="11" t="s">
        <v>8</v>
      </c>
      <c r="D19" s="12" t="s">
        <v>9</v>
      </c>
      <c r="E19" s="12" t="s">
        <v>167</v>
      </c>
      <c r="F19" s="10" t="s">
        <v>168</v>
      </c>
      <c r="G19" s="11" t="s">
        <v>169</v>
      </c>
      <c r="H19" s="13">
        <v>2100</v>
      </c>
      <c r="I19" s="1"/>
    </row>
    <row r="20" spans="1:9" ht="15.75" customHeight="1" x14ac:dyDescent="0.25">
      <c r="A20" s="9" t="s">
        <v>159</v>
      </c>
      <c r="B20" s="10">
        <v>65737477</v>
      </c>
      <c r="C20" s="11" t="s">
        <v>18</v>
      </c>
      <c r="D20" s="12" t="s">
        <v>9</v>
      </c>
      <c r="E20" s="12" t="s">
        <v>170</v>
      </c>
      <c r="F20" s="10">
        <v>8909006089</v>
      </c>
      <c r="G20" s="11" t="s">
        <v>171</v>
      </c>
      <c r="H20" s="13">
        <v>39000</v>
      </c>
      <c r="I20" s="1"/>
    </row>
    <row r="21" spans="1:9" ht="15.75" customHeight="1" x14ac:dyDescent="0.25">
      <c r="A21" s="9" t="s">
        <v>159</v>
      </c>
      <c r="B21" s="10">
        <v>65777220</v>
      </c>
      <c r="C21" s="11" t="s">
        <v>30</v>
      </c>
      <c r="D21" s="12" t="s">
        <v>31</v>
      </c>
      <c r="E21" s="12" t="s">
        <v>172</v>
      </c>
      <c r="F21" s="10">
        <v>65777220</v>
      </c>
      <c r="G21" s="11" t="s">
        <v>30</v>
      </c>
      <c r="H21" s="13">
        <v>10000</v>
      </c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284300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-2756839.44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53B0-2A80-4FC5-87FB-C5E52EC7A71F}">
  <sheetPr>
    <pageSetUpPr fitToPage="1"/>
  </sheetPr>
  <dimension ref="A1:I52"/>
  <sheetViews>
    <sheetView topLeftCell="C1" zoomScale="85" zoomScaleNormal="85" workbookViewId="0">
      <selection activeCell="E29" sqref="E29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22.28515625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13 2026 '!H25</f>
        <v>-2756839.44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 t="s">
        <v>173</v>
      </c>
      <c r="B12" s="10">
        <v>13239826</v>
      </c>
      <c r="C12" s="11" t="s">
        <v>8</v>
      </c>
      <c r="D12" s="12" t="s">
        <v>9</v>
      </c>
      <c r="E12" s="12" t="s">
        <v>174</v>
      </c>
      <c r="F12" s="10">
        <v>13239826</v>
      </c>
      <c r="G12" s="11" t="s">
        <v>8</v>
      </c>
      <c r="H12" s="13">
        <v>17000</v>
      </c>
      <c r="I12" s="1"/>
    </row>
    <row r="13" spans="1:9" ht="15.75" customHeight="1" x14ac:dyDescent="0.25">
      <c r="A13" s="9" t="s">
        <v>173</v>
      </c>
      <c r="B13" s="10">
        <v>65762110</v>
      </c>
      <c r="C13" s="11" t="s">
        <v>16</v>
      </c>
      <c r="D13" s="12" t="s">
        <v>17</v>
      </c>
      <c r="E13" s="12" t="s">
        <v>175</v>
      </c>
      <c r="F13" s="10">
        <v>65762110</v>
      </c>
      <c r="G13" s="11" t="s">
        <v>16</v>
      </c>
      <c r="H13" s="13">
        <v>14000</v>
      </c>
      <c r="I13" s="1"/>
    </row>
    <row r="14" spans="1:9" ht="15.75" customHeight="1" x14ac:dyDescent="0.25">
      <c r="A14" s="9" t="s">
        <v>173</v>
      </c>
      <c r="B14" s="10">
        <v>65737477</v>
      </c>
      <c r="C14" s="11" t="s">
        <v>18</v>
      </c>
      <c r="D14" s="12" t="s">
        <v>9</v>
      </c>
      <c r="E14" s="12" t="s">
        <v>176</v>
      </c>
      <c r="F14" s="10">
        <v>65737477</v>
      </c>
      <c r="G14" s="11" t="s">
        <v>18</v>
      </c>
      <c r="H14" s="13">
        <v>34200</v>
      </c>
      <c r="I14" s="1"/>
    </row>
    <row r="15" spans="1:9" ht="15.75" customHeight="1" x14ac:dyDescent="0.25">
      <c r="A15" s="9" t="s">
        <v>173</v>
      </c>
      <c r="B15" s="10">
        <v>1110472296</v>
      </c>
      <c r="C15" s="11" t="s">
        <v>177</v>
      </c>
      <c r="D15" s="12" t="s">
        <v>139</v>
      </c>
      <c r="E15" s="12" t="s">
        <v>178</v>
      </c>
      <c r="F15" s="10">
        <v>1110472296</v>
      </c>
      <c r="G15" s="11" t="s">
        <v>177</v>
      </c>
      <c r="H15" s="13">
        <v>10000</v>
      </c>
      <c r="I15" s="1"/>
    </row>
    <row r="16" spans="1:9" ht="15.75" customHeight="1" x14ac:dyDescent="0.25">
      <c r="A16" s="9" t="s">
        <v>173</v>
      </c>
      <c r="B16" s="10">
        <v>65777220</v>
      </c>
      <c r="C16" s="11" t="s">
        <v>30</v>
      </c>
      <c r="D16" s="12" t="s">
        <v>31</v>
      </c>
      <c r="E16" s="12" t="s">
        <v>179</v>
      </c>
      <c r="F16" s="10" t="s">
        <v>116</v>
      </c>
      <c r="G16" s="11" t="s">
        <v>117</v>
      </c>
      <c r="H16" s="13">
        <v>10500</v>
      </c>
      <c r="I16" s="1"/>
    </row>
    <row r="17" spans="1:9" ht="15.75" customHeight="1" x14ac:dyDescent="0.25">
      <c r="A17" s="9" t="s">
        <v>173</v>
      </c>
      <c r="B17" s="10">
        <v>13239826</v>
      </c>
      <c r="C17" s="11" t="s">
        <v>8</v>
      </c>
      <c r="D17" s="12" t="s">
        <v>9</v>
      </c>
      <c r="E17" s="12" t="s">
        <v>167</v>
      </c>
      <c r="F17" s="10" t="s">
        <v>144</v>
      </c>
      <c r="G17" s="11" t="s">
        <v>180</v>
      </c>
      <c r="H17" s="13">
        <v>1900</v>
      </c>
      <c r="I17" s="1"/>
    </row>
    <row r="18" spans="1:9" ht="15.75" customHeight="1" x14ac:dyDescent="0.25">
      <c r="A18" s="9" t="s">
        <v>173</v>
      </c>
      <c r="B18" s="10">
        <v>65737477</v>
      </c>
      <c r="C18" s="11" t="s">
        <v>18</v>
      </c>
      <c r="D18" s="12" t="s">
        <v>9</v>
      </c>
      <c r="E18" s="12" t="s">
        <v>181</v>
      </c>
      <c r="F18" s="10" t="s">
        <v>107</v>
      </c>
      <c r="G18" s="11" t="s">
        <v>130</v>
      </c>
      <c r="H18" s="13">
        <v>2800</v>
      </c>
      <c r="I18" s="1"/>
    </row>
    <row r="19" spans="1:9" ht="15.75" customHeight="1" x14ac:dyDescent="0.25">
      <c r="A19" s="9" t="s">
        <v>173</v>
      </c>
      <c r="B19" s="10">
        <v>1110472296</v>
      </c>
      <c r="C19" s="11" t="s">
        <v>177</v>
      </c>
      <c r="D19" s="12" t="s">
        <v>139</v>
      </c>
      <c r="E19" s="12" t="s">
        <v>182</v>
      </c>
      <c r="F19" s="10">
        <v>900870033</v>
      </c>
      <c r="G19" s="11" t="s">
        <v>183</v>
      </c>
      <c r="H19" s="13">
        <v>41400</v>
      </c>
      <c r="I19" s="1"/>
    </row>
    <row r="20" spans="1:9" ht="15.75" customHeight="1" x14ac:dyDescent="0.25">
      <c r="A20" s="9"/>
      <c r="B20" s="10"/>
      <c r="C20" s="11"/>
      <c r="D20" s="12"/>
      <c r="E20" s="12"/>
      <c r="F20" s="10"/>
      <c r="G20" s="11"/>
      <c r="H20" s="13"/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131800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-2888639.44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D870-C1CD-4C4F-8180-95DEB6BF461C}">
  <sheetPr>
    <pageSetUpPr fitToPage="1"/>
  </sheetPr>
  <dimension ref="A1:I54"/>
  <sheetViews>
    <sheetView topLeftCell="B1" zoomScale="85" zoomScaleNormal="85" workbookViewId="0">
      <selection activeCell="B12" sqref="B12:D12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30.42578125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14 2026 '!H25</f>
        <v>-2888639.44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 t="s">
        <v>184</v>
      </c>
      <c r="B12" s="10">
        <v>111046289</v>
      </c>
      <c r="C12" s="11" t="s">
        <v>185</v>
      </c>
      <c r="D12" s="12" t="s">
        <v>34</v>
      </c>
      <c r="E12" s="12" t="s">
        <v>186</v>
      </c>
      <c r="F12" s="10">
        <v>111046289</v>
      </c>
      <c r="G12" s="11" t="s">
        <v>185</v>
      </c>
      <c r="H12" s="13">
        <v>12000</v>
      </c>
      <c r="I12" s="1"/>
    </row>
    <row r="13" spans="1:9" ht="15.75" customHeight="1" x14ac:dyDescent="0.25">
      <c r="A13" s="9" t="s">
        <v>184</v>
      </c>
      <c r="B13" s="10">
        <v>28542010</v>
      </c>
      <c r="C13" s="11" t="s">
        <v>187</v>
      </c>
      <c r="D13" s="12" t="s">
        <v>188</v>
      </c>
      <c r="E13" s="12" t="s">
        <v>189</v>
      </c>
      <c r="F13" s="10">
        <v>28542010</v>
      </c>
      <c r="G13" s="11" t="s">
        <v>187</v>
      </c>
      <c r="H13" s="13">
        <v>31000</v>
      </c>
      <c r="I13" s="1"/>
    </row>
    <row r="14" spans="1:9" ht="15.75" customHeight="1" x14ac:dyDescent="0.25">
      <c r="A14" s="9" t="s">
        <v>184</v>
      </c>
      <c r="B14" s="10">
        <v>65777220</v>
      </c>
      <c r="C14" s="11" t="s">
        <v>30</v>
      </c>
      <c r="D14" s="12" t="s">
        <v>31</v>
      </c>
      <c r="E14" s="12" t="s">
        <v>190</v>
      </c>
      <c r="F14" s="10">
        <v>65777220</v>
      </c>
      <c r="G14" s="11" t="s">
        <v>30</v>
      </c>
      <c r="H14" s="13">
        <v>7500</v>
      </c>
      <c r="I14" s="1"/>
    </row>
    <row r="15" spans="1:9" ht="15.75" customHeight="1" x14ac:dyDescent="0.25">
      <c r="A15" s="9" t="s">
        <v>184</v>
      </c>
      <c r="B15" s="10">
        <v>13239826</v>
      </c>
      <c r="C15" s="11" t="s">
        <v>8</v>
      </c>
      <c r="D15" s="12" t="s">
        <v>9</v>
      </c>
      <c r="E15" s="12" t="s">
        <v>191</v>
      </c>
      <c r="F15" s="10">
        <v>13239826</v>
      </c>
      <c r="G15" s="11" t="s">
        <v>8</v>
      </c>
      <c r="H15" s="13">
        <v>22000</v>
      </c>
      <c r="I15" s="1"/>
    </row>
    <row r="16" spans="1:9" ht="15.75" customHeight="1" x14ac:dyDescent="0.25">
      <c r="A16" s="9" t="s">
        <v>184</v>
      </c>
      <c r="B16" s="10">
        <v>13239826</v>
      </c>
      <c r="C16" s="11" t="s">
        <v>8</v>
      </c>
      <c r="D16" s="12" t="s">
        <v>9</v>
      </c>
      <c r="E16" s="12" t="s">
        <v>167</v>
      </c>
      <c r="F16" s="10">
        <v>38225162</v>
      </c>
      <c r="G16" s="11" t="s">
        <v>192</v>
      </c>
      <c r="H16" s="13">
        <v>900</v>
      </c>
      <c r="I16" s="1"/>
    </row>
    <row r="17" spans="1:9" ht="15.75" customHeight="1" x14ac:dyDescent="0.25">
      <c r="A17" s="9" t="s">
        <v>184</v>
      </c>
      <c r="B17" s="10">
        <v>65737477</v>
      </c>
      <c r="C17" s="11" t="s">
        <v>18</v>
      </c>
      <c r="D17" s="12" t="s">
        <v>9</v>
      </c>
      <c r="E17" s="12" t="s">
        <v>193</v>
      </c>
      <c r="F17" s="10" t="s">
        <v>116</v>
      </c>
      <c r="G17" s="11" t="s">
        <v>117</v>
      </c>
      <c r="H17" s="13">
        <v>13000</v>
      </c>
      <c r="I17" s="1"/>
    </row>
    <row r="18" spans="1:9" ht="15.75" customHeight="1" x14ac:dyDescent="0.25">
      <c r="A18" s="9" t="s">
        <v>184</v>
      </c>
      <c r="B18" s="10">
        <v>65737477</v>
      </c>
      <c r="C18" s="11" t="s">
        <v>18</v>
      </c>
      <c r="D18" s="12" t="s">
        <v>9</v>
      </c>
      <c r="E18" s="12" t="s">
        <v>194</v>
      </c>
      <c r="F18" s="10" t="s">
        <v>195</v>
      </c>
      <c r="G18" s="11" t="s">
        <v>196</v>
      </c>
      <c r="H18" s="13">
        <v>30000</v>
      </c>
      <c r="I18" s="1"/>
    </row>
    <row r="19" spans="1:9" ht="15.75" customHeight="1" x14ac:dyDescent="0.25">
      <c r="A19" s="9" t="s">
        <v>184</v>
      </c>
      <c r="B19" s="10">
        <v>65737477</v>
      </c>
      <c r="C19" s="11" t="s">
        <v>18</v>
      </c>
      <c r="D19" s="12" t="s">
        <v>9</v>
      </c>
      <c r="E19" s="12" t="s">
        <v>197</v>
      </c>
      <c r="F19" s="10" t="s">
        <v>198</v>
      </c>
      <c r="G19" s="11" t="s">
        <v>199</v>
      </c>
      <c r="H19" s="13">
        <v>2600</v>
      </c>
      <c r="I19" s="1"/>
    </row>
    <row r="20" spans="1:9" ht="15.75" customHeight="1" x14ac:dyDescent="0.25">
      <c r="A20" s="9" t="s">
        <v>184</v>
      </c>
      <c r="B20" s="10">
        <v>65737477</v>
      </c>
      <c r="C20" s="11" t="s">
        <v>18</v>
      </c>
      <c r="D20" s="12" t="s">
        <v>9</v>
      </c>
      <c r="E20" s="12" t="s">
        <v>200</v>
      </c>
      <c r="F20" s="10" t="s">
        <v>198</v>
      </c>
      <c r="G20" s="11" t="s">
        <v>199</v>
      </c>
      <c r="H20" s="13">
        <v>3000</v>
      </c>
      <c r="I20" s="1"/>
    </row>
    <row r="21" spans="1:9" ht="15.75" customHeight="1" x14ac:dyDescent="0.25">
      <c r="A21" s="9" t="s">
        <v>184</v>
      </c>
      <c r="B21" s="10">
        <v>65737477</v>
      </c>
      <c r="C21" s="11" t="s">
        <v>18</v>
      </c>
      <c r="D21" s="12" t="s">
        <v>9</v>
      </c>
      <c r="E21" s="12" t="s">
        <v>201</v>
      </c>
      <c r="F21" s="10" t="s">
        <v>202</v>
      </c>
      <c r="G21" s="11" t="s">
        <v>203</v>
      </c>
      <c r="H21" s="13">
        <v>5440</v>
      </c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127440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-3016079.44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  <row r="53" spans="2:4" ht="15.75" customHeight="1" x14ac:dyDescent="0.25">
      <c r="B53" s="10">
        <v>111046289</v>
      </c>
      <c r="C53" s="11" t="s">
        <v>185</v>
      </c>
      <c r="D53" s="12" t="s">
        <v>34</v>
      </c>
    </row>
    <row r="54" spans="2:4" ht="15.75" customHeight="1" x14ac:dyDescent="0.25">
      <c r="B54" s="10">
        <v>28542010</v>
      </c>
      <c r="C54" s="11" t="s">
        <v>187</v>
      </c>
      <c r="D54" s="12" t="s">
        <v>188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609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0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99BF-D3AF-4DAB-B85A-9777E35E37F2}">
  <sheetPr>
    <pageSetUpPr fitToPage="1"/>
  </sheetPr>
  <dimension ref="A1:I54"/>
  <sheetViews>
    <sheetView topLeftCell="C1" zoomScale="85" zoomScaleNormal="85" workbookViewId="0">
      <selection activeCell="E28" sqref="E28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30.42578125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15 2026  '!H25</f>
        <v>-3016079.44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 t="s">
        <v>204</v>
      </c>
      <c r="B12" s="10">
        <v>1110496867</v>
      </c>
      <c r="C12" s="11" t="s">
        <v>205</v>
      </c>
      <c r="D12" s="12" t="s">
        <v>206</v>
      </c>
      <c r="E12" s="12" t="s">
        <v>207</v>
      </c>
      <c r="F12" s="10">
        <v>1110496867</v>
      </c>
      <c r="G12" s="11" t="s">
        <v>205</v>
      </c>
      <c r="H12" s="13">
        <v>27500</v>
      </c>
      <c r="I12" s="1"/>
    </row>
    <row r="13" spans="1:9" ht="15.75" customHeight="1" x14ac:dyDescent="0.25">
      <c r="A13" s="9" t="s">
        <v>204</v>
      </c>
      <c r="B13" s="10">
        <v>1110496867</v>
      </c>
      <c r="C13" s="11" t="s">
        <v>205</v>
      </c>
      <c r="D13" s="12" t="s">
        <v>206</v>
      </c>
      <c r="E13" s="12" t="s">
        <v>207</v>
      </c>
      <c r="F13" s="10">
        <v>1110496867</v>
      </c>
      <c r="G13" s="11" t="s">
        <v>205</v>
      </c>
      <c r="H13" s="13">
        <v>27500</v>
      </c>
      <c r="I13" s="1"/>
    </row>
    <row r="14" spans="1:9" ht="15.75" customHeight="1" x14ac:dyDescent="0.25">
      <c r="A14" s="9" t="s">
        <v>204</v>
      </c>
      <c r="B14" s="10">
        <v>13239826</v>
      </c>
      <c r="C14" s="11" t="s">
        <v>8</v>
      </c>
      <c r="D14" s="12" t="s">
        <v>9</v>
      </c>
      <c r="E14" s="12" t="s">
        <v>208</v>
      </c>
      <c r="F14" s="10">
        <v>13239826</v>
      </c>
      <c r="G14" s="11" t="s">
        <v>8</v>
      </c>
      <c r="H14" s="13">
        <v>20000</v>
      </c>
      <c r="I14" s="1"/>
    </row>
    <row r="15" spans="1:9" ht="15.75" customHeight="1" x14ac:dyDescent="0.25">
      <c r="A15" s="9" t="s">
        <v>204</v>
      </c>
      <c r="B15" s="10">
        <v>65737477</v>
      </c>
      <c r="C15" s="11" t="s">
        <v>18</v>
      </c>
      <c r="D15" s="12" t="s">
        <v>9</v>
      </c>
      <c r="E15" s="12" t="s">
        <v>209</v>
      </c>
      <c r="F15" s="10" t="s">
        <v>210</v>
      </c>
      <c r="G15" s="11" t="s">
        <v>211</v>
      </c>
      <c r="H15" s="13">
        <v>38700</v>
      </c>
      <c r="I15" s="1"/>
    </row>
    <row r="16" spans="1:9" ht="15.75" customHeight="1" x14ac:dyDescent="0.25">
      <c r="A16" s="9"/>
      <c r="B16" s="10"/>
      <c r="C16" s="11"/>
      <c r="D16" s="12"/>
      <c r="E16" s="12"/>
      <c r="F16" s="10"/>
      <c r="G16" s="11"/>
      <c r="H16" s="13"/>
      <c r="I16" s="1"/>
    </row>
    <row r="17" spans="1:9" ht="15.75" customHeight="1" x14ac:dyDescent="0.25">
      <c r="A17" s="9"/>
      <c r="B17" s="10"/>
      <c r="C17" s="11"/>
      <c r="D17" s="12"/>
      <c r="E17" s="12"/>
      <c r="F17" s="10"/>
      <c r="G17" s="11"/>
      <c r="H17" s="13"/>
      <c r="I17" s="1"/>
    </row>
    <row r="18" spans="1:9" ht="15.75" customHeight="1" x14ac:dyDescent="0.25">
      <c r="A18" s="9"/>
      <c r="B18" s="10"/>
      <c r="C18" s="11"/>
      <c r="D18" s="12"/>
      <c r="E18" s="12"/>
      <c r="F18" s="10"/>
      <c r="G18" s="11"/>
      <c r="H18" s="13"/>
      <c r="I18" s="1"/>
    </row>
    <row r="19" spans="1:9" ht="15.75" customHeight="1" x14ac:dyDescent="0.25">
      <c r="A19" s="9"/>
      <c r="B19" s="10"/>
      <c r="C19" s="11"/>
      <c r="D19" s="12"/>
      <c r="E19" s="12"/>
      <c r="F19" s="10"/>
      <c r="G19" s="11"/>
      <c r="H19" s="13"/>
      <c r="I19" s="1"/>
    </row>
    <row r="20" spans="1:9" ht="15.75" customHeight="1" x14ac:dyDescent="0.25">
      <c r="A20" s="9"/>
      <c r="B20" s="10"/>
      <c r="C20" s="11"/>
      <c r="D20" s="12"/>
      <c r="E20" s="12"/>
      <c r="F20" s="10"/>
      <c r="G20" s="11"/>
      <c r="H20" s="13"/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4"/>
      <c r="G23" s="15"/>
      <c r="H23" s="13">
        <f>SUM(H12:H22)</f>
        <v>113700</v>
      </c>
      <c r="I23" s="1"/>
    </row>
    <row r="24" spans="1:9" ht="15.75" customHeight="1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ht="15.75" customHeight="1" x14ac:dyDescent="0.25">
      <c r="A25" s="9"/>
      <c r="B25" s="16"/>
      <c r="C25" s="11"/>
      <c r="D25" s="12"/>
      <c r="E25" s="12"/>
      <c r="F25" s="14"/>
      <c r="G25" s="15"/>
      <c r="H25" s="13">
        <f>H10-H23</f>
        <v>-3129779.44</v>
      </c>
      <c r="I25" s="1"/>
    </row>
    <row r="26" spans="1:9" ht="15.75" customHeight="1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ht="15.75" customHeight="1" x14ac:dyDescent="0.25">
      <c r="B28" s="10">
        <v>110580597</v>
      </c>
      <c r="C28" s="11" t="s">
        <v>28</v>
      </c>
      <c r="D28" s="12" t="s">
        <v>29</v>
      </c>
    </row>
    <row r="29" spans="1:9" ht="15.75" customHeight="1" x14ac:dyDescent="0.25">
      <c r="B29" s="10">
        <v>65777220</v>
      </c>
      <c r="C29" s="11" t="s">
        <v>30</v>
      </c>
      <c r="D29" s="12" t="s">
        <v>31</v>
      </c>
    </row>
    <row r="30" spans="1:9" ht="15.75" customHeight="1" x14ac:dyDescent="0.25">
      <c r="B30" s="10">
        <v>65737477</v>
      </c>
      <c r="C30" s="11" t="s">
        <v>18</v>
      </c>
      <c r="D30" s="12" t="s">
        <v>9</v>
      </c>
    </row>
    <row r="31" spans="1:9" ht="15.75" customHeight="1" x14ac:dyDescent="0.25">
      <c r="B31" s="10">
        <v>14106438</v>
      </c>
      <c r="C31" s="11" t="s">
        <v>32</v>
      </c>
      <c r="D31" s="12" t="s">
        <v>17</v>
      </c>
    </row>
    <row r="32" spans="1:9" ht="15.75" customHeight="1" x14ac:dyDescent="0.25">
      <c r="B32" s="10">
        <v>5939109</v>
      </c>
      <c r="C32" s="11" t="s">
        <v>33</v>
      </c>
      <c r="D32" s="12" t="s">
        <v>34</v>
      </c>
    </row>
    <row r="33" spans="2:4" ht="15.75" customHeight="1" x14ac:dyDescent="0.25">
      <c r="B33" s="10">
        <v>13239826</v>
      </c>
      <c r="C33" s="11" t="s">
        <v>8</v>
      </c>
      <c r="D33" s="12" t="s">
        <v>9</v>
      </c>
    </row>
    <row r="34" spans="2:4" ht="15.75" customHeight="1" x14ac:dyDescent="0.25">
      <c r="B34" s="10">
        <v>65762110</v>
      </c>
      <c r="C34" s="11" t="s">
        <v>16</v>
      </c>
      <c r="D34" s="12" t="s">
        <v>17</v>
      </c>
    </row>
    <row r="35" spans="2:4" ht="15.75" customHeight="1" x14ac:dyDescent="0.25">
      <c r="B35" s="10">
        <v>1032372158</v>
      </c>
      <c r="C35" s="11" t="s">
        <v>35</v>
      </c>
      <c r="D35" s="12" t="s">
        <v>34</v>
      </c>
    </row>
    <row r="36" spans="2:4" ht="15.75" customHeight="1" x14ac:dyDescent="0.25">
      <c r="B36" s="10">
        <v>1110511708</v>
      </c>
      <c r="C36" s="11" t="s">
        <v>24</v>
      </c>
      <c r="D36" s="12" t="s">
        <v>25</v>
      </c>
    </row>
    <row r="37" spans="2:4" ht="15.75" customHeight="1" x14ac:dyDescent="0.25">
      <c r="B37" s="10">
        <v>1110546445</v>
      </c>
      <c r="C37" s="11" t="s">
        <v>36</v>
      </c>
      <c r="D37" s="12" t="s">
        <v>37</v>
      </c>
    </row>
    <row r="38" spans="2:4" ht="15.75" customHeight="1" x14ac:dyDescent="0.25">
      <c r="B38" s="10">
        <v>1006123077</v>
      </c>
      <c r="C38" s="11" t="s">
        <v>38</v>
      </c>
      <c r="D38" s="12" t="s">
        <v>39</v>
      </c>
    </row>
    <row r="39" spans="2:4" ht="15.75" customHeight="1" x14ac:dyDescent="0.25">
      <c r="B39" s="10">
        <v>14236999</v>
      </c>
      <c r="C39" s="11" t="s">
        <v>13</v>
      </c>
      <c r="D39" s="12" t="s">
        <v>14</v>
      </c>
    </row>
    <row r="40" spans="2:4" ht="15.75" customHeight="1" x14ac:dyDescent="0.25">
      <c r="B40" s="10">
        <v>1234638696</v>
      </c>
      <c r="C40" s="11" t="s">
        <v>40</v>
      </c>
      <c r="D40" s="12" t="s">
        <v>41</v>
      </c>
    </row>
    <row r="41" spans="2:4" ht="15.75" customHeight="1" x14ac:dyDescent="0.25">
      <c r="B41" s="10">
        <v>1000775862</v>
      </c>
      <c r="C41" s="11" t="s">
        <v>42</v>
      </c>
      <c r="D41" s="12" t="s">
        <v>41</v>
      </c>
    </row>
    <row r="42" spans="2:4" ht="15.75" customHeight="1" x14ac:dyDescent="0.25">
      <c r="B42" s="10">
        <v>5927717</v>
      </c>
      <c r="C42" s="11" t="s">
        <v>43</v>
      </c>
      <c r="D42" s="12" t="s">
        <v>41</v>
      </c>
    </row>
    <row r="43" spans="2:4" ht="15.75" customHeight="1" x14ac:dyDescent="0.25">
      <c r="B43" s="10">
        <v>1110442630</v>
      </c>
      <c r="C43" s="11" t="s">
        <v>44</v>
      </c>
      <c r="D43" s="12" t="s">
        <v>41</v>
      </c>
    </row>
    <row r="44" spans="2:4" ht="15.75" customHeight="1" x14ac:dyDescent="0.25">
      <c r="B44" s="10">
        <v>1007832826</v>
      </c>
      <c r="C44" s="11" t="s">
        <v>45</v>
      </c>
      <c r="D44" s="12" t="s">
        <v>46</v>
      </c>
    </row>
    <row r="45" spans="2:4" ht="15.75" customHeight="1" x14ac:dyDescent="0.25">
      <c r="B45" s="10" t="s">
        <v>47</v>
      </c>
      <c r="C45" s="11" t="s">
        <v>48</v>
      </c>
      <c r="D45" s="12"/>
    </row>
    <row r="46" spans="2:4" ht="15.75" customHeight="1" x14ac:dyDescent="0.25">
      <c r="B46" s="10">
        <v>1110546445</v>
      </c>
      <c r="C46" s="11" t="s">
        <v>36</v>
      </c>
      <c r="D46" s="12" t="s">
        <v>37</v>
      </c>
    </row>
    <row r="47" spans="2:4" ht="15.75" customHeight="1" x14ac:dyDescent="0.25">
      <c r="B47" s="10">
        <v>1005717607</v>
      </c>
      <c r="C47" s="11" t="s">
        <v>49</v>
      </c>
      <c r="D47" s="12" t="s">
        <v>37</v>
      </c>
    </row>
    <row r="48" spans="2:4" ht="15.75" customHeight="1" x14ac:dyDescent="0.25">
      <c r="B48" s="10">
        <v>14243741</v>
      </c>
      <c r="C48" s="11" t="s">
        <v>50</v>
      </c>
      <c r="D48" s="12" t="s">
        <v>51</v>
      </c>
    </row>
    <row r="49" spans="2:4" ht="15.75" customHeight="1" x14ac:dyDescent="0.25">
      <c r="B49" s="10">
        <v>1110442630</v>
      </c>
      <c r="C49" s="11" t="s">
        <v>44</v>
      </c>
      <c r="D49" s="12" t="s">
        <v>34</v>
      </c>
    </row>
    <row r="50" spans="2:4" ht="15.75" customHeight="1" x14ac:dyDescent="0.25">
      <c r="B50" s="10" t="s">
        <v>52</v>
      </c>
      <c r="C50" s="11" t="s">
        <v>53</v>
      </c>
      <c r="D50" s="12"/>
    </row>
    <row r="51" spans="2:4" ht="15.75" customHeight="1" x14ac:dyDescent="0.25">
      <c r="B51" s="10">
        <v>800251569</v>
      </c>
      <c r="C51" s="11" t="s">
        <v>54</v>
      </c>
      <c r="D51" s="12"/>
    </row>
    <row r="52" spans="2:4" ht="15.75" customHeight="1" x14ac:dyDescent="0.25">
      <c r="B52" s="10">
        <v>1006122533</v>
      </c>
      <c r="C52" s="11" t="s">
        <v>55</v>
      </c>
      <c r="D52" s="12" t="s">
        <v>56</v>
      </c>
    </row>
    <row r="53" spans="2:4" ht="15.75" customHeight="1" x14ac:dyDescent="0.25">
      <c r="B53" s="10">
        <v>111046289</v>
      </c>
      <c r="C53" s="11" t="s">
        <v>185</v>
      </c>
      <c r="D53" s="12" t="s">
        <v>34</v>
      </c>
    </row>
    <row r="54" spans="2:4" ht="15.75" customHeight="1" x14ac:dyDescent="0.25">
      <c r="B54" s="10">
        <v>28542010</v>
      </c>
      <c r="C54" s="11" t="s">
        <v>187</v>
      </c>
      <c r="D54" s="12" t="s">
        <v>188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7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8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4FC-1A88-4181-A396-B8AA3A464199}">
  <sheetPr>
    <pageSetUpPr fitToPage="1"/>
  </sheetPr>
  <dimension ref="A1:I56"/>
  <sheetViews>
    <sheetView topLeftCell="C1" zoomScale="85" zoomScaleNormal="85" workbookViewId="0">
      <selection activeCell="E22" sqref="E22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30.42578125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16 2026'!H25</f>
        <v>-3129779.44</v>
      </c>
      <c r="I10" s="1"/>
    </row>
    <row r="11" spans="1:9" ht="15.75" customHeight="1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ht="15.75" customHeight="1" x14ac:dyDescent="0.25">
      <c r="A12" s="9" t="s">
        <v>212</v>
      </c>
      <c r="B12" s="10">
        <v>13239826</v>
      </c>
      <c r="C12" s="11" t="s">
        <v>8</v>
      </c>
      <c r="D12" s="12" t="s">
        <v>9</v>
      </c>
      <c r="E12" s="12" t="s">
        <v>213</v>
      </c>
      <c r="F12" s="10">
        <v>13239826</v>
      </c>
      <c r="G12" s="11" t="s">
        <v>8</v>
      </c>
      <c r="H12" s="13">
        <v>9500</v>
      </c>
      <c r="I12" s="1"/>
    </row>
    <row r="13" spans="1:9" ht="15.75" customHeight="1" x14ac:dyDescent="0.25">
      <c r="A13" s="9" t="s">
        <v>212</v>
      </c>
      <c r="B13" s="10">
        <v>1110486217</v>
      </c>
      <c r="C13" s="11" t="s">
        <v>214</v>
      </c>
      <c r="D13" s="12" t="s">
        <v>215</v>
      </c>
      <c r="E13" s="12" t="s">
        <v>216</v>
      </c>
      <c r="F13" s="10">
        <v>1110486217</v>
      </c>
      <c r="G13" s="11" t="s">
        <v>214</v>
      </c>
      <c r="H13" s="13">
        <v>8000</v>
      </c>
      <c r="I13" s="1"/>
    </row>
    <row r="14" spans="1:9" ht="15.75" customHeight="1" x14ac:dyDescent="0.25">
      <c r="A14" s="9" t="s">
        <v>212</v>
      </c>
      <c r="B14" s="10">
        <v>65737477</v>
      </c>
      <c r="C14" s="11" t="s">
        <v>18</v>
      </c>
      <c r="D14" s="12" t="s">
        <v>9</v>
      </c>
      <c r="E14" s="12" t="s">
        <v>217</v>
      </c>
      <c r="F14" s="10">
        <v>65737477</v>
      </c>
      <c r="G14" s="11" t="s">
        <v>18</v>
      </c>
      <c r="H14" s="13">
        <v>20000</v>
      </c>
      <c r="I14" s="1"/>
    </row>
    <row r="15" spans="1:9" ht="15.75" customHeight="1" x14ac:dyDescent="0.25">
      <c r="A15" s="9" t="s">
        <v>212</v>
      </c>
      <c r="B15" s="10">
        <v>65777220</v>
      </c>
      <c r="C15" s="11" t="s">
        <v>30</v>
      </c>
      <c r="D15" s="12" t="s">
        <v>31</v>
      </c>
      <c r="E15" s="12" t="s">
        <v>218</v>
      </c>
      <c r="F15" s="10">
        <v>65777220</v>
      </c>
      <c r="G15" s="11" t="s">
        <v>30</v>
      </c>
      <c r="H15" s="13">
        <v>14000</v>
      </c>
      <c r="I15" s="1"/>
    </row>
    <row r="16" spans="1:9" ht="15.75" customHeight="1" x14ac:dyDescent="0.25">
      <c r="A16" s="9" t="s">
        <v>212</v>
      </c>
      <c r="B16" s="10">
        <v>1110580407</v>
      </c>
      <c r="C16" s="11" t="s">
        <v>219</v>
      </c>
      <c r="D16" s="12" t="s">
        <v>215</v>
      </c>
      <c r="E16" s="12" t="s">
        <v>220</v>
      </c>
      <c r="F16" s="10">
        <v>1110580407</v>
      </c>
      <c r="G16" s="11" t="s">
        <v>219</v>
      </c>
      <c r="H16" s="13">
        <v>13000</v>
      </c>
      <c r="I16" s="1"/>
    </row>
    <row r="17" spans="1:9" ht="15.75" customHeight="1" x14ac:dyDescent="0.25">
      <c r="A17" s="9" t="s">
        <v>212</v>
      </c>
      <c r="B17" s="10">
        <v>65737477</v>
      </c>
      <c r="C17" s="11" t="s">
        <v>18</v>
      </c>
      <c r="D17" s="12" t="s">
        <v>9</v>
      </c>
      <c r="E17" s="12" t="s">
        <v>221</v>
      </c>
      <c r="F17" s="10">
        <v>12111653</v>
      </c>
      <c r="G17" s="11" t="s">
        <v>222</v>
      </c>
      <c r="H17" s="13">
        <v>30000</v>
      </c>
      <c r="I17" s="1"/>
    </row>
    <row r="18" spans="1:9" ht="15.75" customHeight="1" x14ac:dyDescent="0.25">
      <c r="A18" s="9" t="s">
        <v>212</v>
      </c>
      <c r="B18" s="10">
        <v>65777220</v>
      </c>
      <c r="C18" s="11" t="s">
        <v>30</v>
      </c>
      <c r="D18" s="12" t="s">
        <v>31</v>
      </c>
      <c r="E18" s="12" t="s">
        <v>223</v>
      </c>
      <c r="F18" s="10">
        <v>1024461420</v>
      </c>
      <c r="G18" s="11" t="s">
        <v>224</v>
      </c>
      <c r="H18" s="13">
        <v>48000</v>
      </c>
      <c r="I18" s="1"/>
    </row>
    <row r="19" spans="1:9" ht="15.75" customHeight="1" x14ac:dyDescent="0.25">
      <c r="A19" s="9" t="s">
        <v>212</v>
      </c>
      <c r="B19" s="10">
        <v>65777220</v>
      </c>
      <c r="C19" s="11" t="s">
        <v>30</v>
      </c>
      <c r="D19" s="12" t="s">
        <v>31</v>
      </c>
      <c r="E19" s="12" t="s">
        <v>225</v>
      </c>
      <c r="F19" s="10" t="s">
        <v>226</v>
      </c>
      <c r="G19" s="11" t="s">
        <v>227</v>
      </c>
      <c r="H19" s="13">
        <v>15500</v>
      </c>
      <c r="I19" s="1"/>
    </row>
    <row r="20" spans="1:9" ht="15.75" customHeight="1" x14ac:dyDescent="0.25">
      <c r="A20" s="9" t="s">
        <v>212</v>
      </c>
      <c r="B20" s="10">
        <v>13239826</v>
      </c>
      <c r="C20" s="11" t="s">
        <v>8</v>
      </c>
      <c r="D20" s="12" t="s">
        <v>9</v>
      </c>
      <c r="E20" s="12" t="s">
        <v>74</v>
      </c>
      <c r="F20" s="10" t="s">
        <v>168</v>
      </c>
      <c r="G20" s="11" t="s">
        <v>169</v>
      </c>
      <c r="H20" s="13">
        <v>2100</v>
      </c>
      <c r="I20" s="1"/>
    </row>
    <row r="21" spans="1:9" ht="15.75" customHeight="1" x14ac:dyDescent="0.25">
      <c r="A21" s="9" t="s">
        <v>212</v>
      </c>
      <c r="B21" s="10">
        <v>65777220</v>
      </c>
      <c r="C21" s="11" t="s">
        <v>30</v>
      </c>
      <c r="D21" s="12" t="s">
        <v>31</v>
      </c>
      <c r="E21" s="12" t="s">
        <v>228</v>
      </c>
      <c r="F21" s="10" t="s">
        <v>86</v>
      </c>
      <c r="G21" s="11" t="s">
        <v>229</v>
      </c>
      <c r="H21" s="13">
        <v>12000</v>
      </c>
      <c r="I21" s="1"/>
    </row>
    <row r="22" spans="1:9" ht="15.75" customHeight="1" x14ac:dyDescent="0.25">
      <c r="A22" s="9" t="s">
        <v>212</v>
      </c>
      <c r="B22" s="10">
        <v>13239826</v>
      </c>
      <c r="C22" s="11" t="s">
        <v>8</v>
      </c>
      <c r="D22" s="12" t="s">
        <v>9</v>
      </c>
      <c r="E22" s="12" t="s">
        <v>74</v>
      </c>
      <c r="F22" s="10" t="s">
        <v>144</v>
      </c>
      <c r="G22" s="11" t="s">
        <v>180</v>
      </c>
      <c r="H22" s="13">
        <v>1900</v>
      </c>
      <c r="I22" s="1"/>
    </row>
    <row r="23" spans="1:9" ht="15.75" customHeight="1" x14ac:dyDescent="0.25">
      <c r="A23" s="9" t="s">
        <v>212</v>
      </c>
      <c r="B23" s="10">
        <v>65777220</v>
      </c>
      <c r="C23" s="11" t="s">
        <v>30</v>
      </c>
      <c r="D23" s="12" t="s">
        <v>31</v>
      </c>
      <c r="E23" s="12" t="s">
        <v>230</v>
      </c>
      <c r="F23" s="10" t="s">
        <v>231</v>
      </c>
      <c r="G23" s="11" t="s">
        <v>232</v>
      </c>
      <c r="H23" s="13">
        <v>25000</v>
      </c>
      <c r="I23" s="1"/>
    </row>
    <row r="24" spans="1:9" ht="15.75" customHeight="1" x14ac:dyDescent="0.25">
      <c r="A24" s="9"/>
      <c r="B24" s="10"/>
      <c r="C24" s="11"/>
      <c r="D24" s="12"/>
      <c r="E24" s="12"/>
      <c r="F24" s="10"/>
      <c r="G24" s="11"/>
      <c r="H24" s="13"/>
      <c r="I24" s="1"/>
    </row>
    <row r="25" spans="1:9" ht="15.75" customHeight="1" x14ac:dyDescent="0.25">
      <c r="A25" s="9"/>
      <c r="B25" s="10"/>
      <c r="C25" s="11"/>
      <c r="D25" s="12"/>
      <c r="E25" s="12"/>
      <c r="F25" s="14"/>
      <c r="G25" s="15"/>
      <c r="H25" s="13">
        <f>SUM(H12:H24)</f>
        <v>199000</v>
      </c>
      <c r="I25" s="1"/>
    </row>
    <row r="26" spans="1:9" ht="15.75" customHeight="1" x14ac:dyDescent="0.25">
      <c r="A26" s="9"/>
      <c r="B26" s="16"/>
      <c r="C26" s="11"/>
      <c r="D26" s="12"/>
      <c r="E26" s="12"/>
      <c r="F26" s="14"/>
      <c r="G26" s="15"/>
      <c r="H26" s="13"/>
      <c r="I26" s="1"/>
    </row>
    <row r="27" spans="1:9" ht="15.75" customHeight="1" x14ac:dyDescent="0.25">
      <c r="A27" s="9"/>
      <c r="B27" s="16"/>
      <c r="C27" s="11"/>
      <c r="D27" s="12"/>
      <c r="E27" s="12"/>
      <c r="F27" s="14"/>
      <c r="G27" s="15"/>
      <c r="H27" s="13">
        <f>H10-H25</f>
        <v>-3328779.44</v>
      </c>
      <c r="I27" s="1"/>
    </row>
    <row r="28" spans="1:9" ht="15.75" customHeight="1" x14ac:dyDescent="0.25">
      <c r="A28" s="9"/>
      <c r="B28" s="16"/>
      <c r="C28" s="11"/>
      <c r="D28" s="12"/>
      <c r="E28" s="17"/>
      <c r="F28" s="14"/>
      <c r="G28" s="11"/>
      <c r="H28" s="18"/>
      <c r="I28" s="1"/>
    </row>
    <row r="30" spans="1:9" ht="15.75" customHeight="1" x14ac:dyDescent="0.25">
      <c r="B30" s="10">
        <v>110580597</v>
      </c>
      <c r="C30" s="11" t="s">
        <v>28</v>
      </c>
      <c r="D30" s="12" t="s">
        <v>29</v>
      </c>
    </row>
    <row r="31" spans="1:9" ht="15.75" customHeight="1" x14ac:dyDescent="0.25">
      <c r="B31" s="10">
        <v>65777220</v>
      </c>
      <c r="C31" s="11" t="s">
        <v>30</v>
      </c>
      <c r="D31" s="12" t="s">
        <v>31</v>
      </c>
    </row>
    <row r="32" spans="1:9" ht="15.75" customHeight="1" x14ac:dyDescent="0.25">
      <c r="B32" s="10">
        <v>65737477</v>
      </c>
      <c r="C32" s="11" t="s">
        <v>18</v>
      </c>
      <c r="D32" s="12" t="s">
        <v>9</v>
      </c>
    </row>
    <row r="33" spans="2:4" ht="15.75" customHeight="1" x14ac:dyDescent="0.25">
      <c r="B33" s="10">
        <v>14106438</v>
      </c>
      <c r="C33" s="11" t="s">
        <v>32</v>
      </c>
      <c r="D33" s="12" t="s">
        <v>17</v>
      </c>
    </row>
    <row r="34" spans="2:4" ht="15.75" customHeight="1" x14ac:dyDescent="0.25">
      <c r="B34" s="10">
        <v>5939109</v>
      </c>
      <c r="C34" s="11" t="s">
        <v>33</v>
      </c>
      <c r="D34" s="12" t="s">
        <v>34</v>
      </c>
    </row>
    <row r="35" spans="2:4" ht="15.75" customHeight="1" x14ac:dyDescent="0.25">
      <c r="B35" s="10">
        <v>13239826</v>
      </c>
      <c r="C35" s="11" t="s">
        <v>8</v>
      </c>
      <c r="D35" s="12" t="s">
        <v>9</v>
      </c>
    </row>
    <row r="36" spans="2:4" ht="15.75" customHeight="1" x14ac:dyDescent="0.25">
      <c r="B36" s="10">
        <v>65762110</v>
      </c>
      <c r="C36" s="11" t="s">
        <v>16</v>
      </c>
      <c r="D36" s="12" t="s">
        <v>17</v>
      </c>
    </row>
    <row r="37" spans="2:4" ht="15.75" customHeight="1" x14ac:dyDescent="0.25">
      <c r="B37" s="10">
        <v>1032372158</v>
      </c>
      <c r="C37" s="11" t="s">
        <v>35</v>
      </c>
      <c r="D37" s="12" t="s">
        <v>34</v>
      </c>
    </row>
    <row r="38" spans="2:4" ht="15.75" customHeight="1" x14ac:dyDescent="0.25">
      <c r="B38" s="10">
        <v>1110511708</v>
      </c>
      <c r="C38" s="11" t="s">
        <v>24</v>
      </c>
      <c r="D38" s="12" t="s">
        <v>25</v>
      </c>
    </row>
    <row r="39" spans="2:4" ht="15.75" customHeight="1" x14ac:dyDescent="0.25">
      <c r="B39" s="10">
        <v>1110546445</v>
      </c>
      <c r="C39" s="11" t="s">
        <v>36</v>
      </c>
      <c r="D39" s="12" t="s">
        <v>37</v>
      </c>
    </row>
    <row r="40" spans="2:4" ht="15.75" customHeight="1" x14ac:dyDescent="0.25">
      <c r="B40" s="10">
        <v>1006123077</v>
      </c>
      <c r="C40" s="11" t="s">
        <v>38</v>
      </c>
      <c r="D40" s="12" t="s">
        <v>39</v>
      </c>
    </row>
    <row r="41" spans="2:4" ht="15.75" customHeight="1" x14ac:dyDescent="0.25">
      <c r="B41" s="10">
        <v>14236999</v>
      </c>
      <c r="C41" s="11" t="s">
        <v>13</v>
      </c>
      <c r="D41" s="12" t="s">
        <v>14</v>
      </c>
    </row>
    <row r="42" spans="2:4" ht="15.75" customHeight="1" x14ac:dyDescent="0.25">
      <c r="B42" s="10">
        <v>1234638696</v>
      </c>
      <c r="C42" s="11" t="s">
        <v>40</v>
      </c>
      <c r="D42" s="12" t="s">
        <v>41</v>
      </c>
    </row>
    <row r="43" spans="2:4" ht="15.75" customHeight="1" x14ac:dyDescent="0.25">
      <c r="B43" s="10">
        <v>1000775862</v>
      </c>
      <c r="C43" s="11" t="s">
        <v>42</v>
      </c>
      <c r="D43" s="12" t="s">
        <v>41</v>
      </c>
    </row>
    <row r="44" spans="2:4" ht="15.75" customHeight="1" x14ac:dyDescent="0.25">
      <c r="B44" s="10">
        <v>5927717</v>
      </c>
      <c r="C44" s="11" t="s">
        <v>43</v>
      </c>
      <c r="D44" s="12" t="s">
        <v>41</v>
      </c>
    </row>
    <row r="45" spans="2:4" ht="15.75" customHeight="1" x14ac:dyDescent="0.25">
      <c r="B45" s="10">
        <v>1110442630</v>
      </c>
      <c r="C45" s="11" t="s">
        <v>44</v>
      </c>
      <c r="D45" s="12" t="s">
        <v>41</v>
      </c>
    </row>
    <row r="46" spans="2:4" ht="15.75" customHeight="1" x14ac:dyDescent="0.25">
      <c r="B46" s="10">
        <v>1007832826</v>
      </c>
      <c r="C46" s="11" t="s">
        <v>45</v>
      </c>
      <c r="D46" s="12" t="s">
        <v>46</v>
      </c>
    </row>
    <row r="47" spans="2:4" ht="15.75" customHeight="1" x14ac:dyDescent="0.25">
      <c r="B47" s="10" t="s">
        <v>47</v>
      </c>
      <c r="C47" s="11" t="s">
        <v>48</v>
      </c>
      <c r="D47" s="12"/>
    </row>
    <row r="48" spans="2:4" ht="15.75" customHeight="1" x14ac:dyDescent="0.25">
      <c r="B48" s="10">
        <v>1110546445</v>
      </c>
      <c r="C48" s="11" t="s">
        <v>36</v>
      </c>
      <c r="D48" s="12" t="s">
        <v>37</v>
      </c>
    </row>
    <row r="49" spans="2:4" ht="15.75" customHeight="1" x14ac:dyDescent="0.25">
      <c r="B49" s="10">
        <v>1005717607</v>
      </c>
      <c r="C49" s="11" t="s">
        <v>49</v>
      </c>
      <c r="D49" s="12" t="s">
        <v>37</v>
      </c>
    </row>
    <row r="50" spans="2:4" ht="15.75" customHeight="1" x14ac:dyDescent="0.25">
      <c r="B50" s="10">
        <v>14243741</v>
      </c>
      <c r="C50" s="11" t="s">
        <v>50</v>
      </c>
      <c r="D50" s="12" t="s">
        <v>51</v>
      </c>
    </row>
    <row r="51" spans="2:4" ht="15.75" customHeight="1" x14ac:dyDescent="0.25">
      <c r="B51" s="10">
        <v>1110442630</v>
      </c>
      <c r="C51" s="11" t="s">
        <v>44</v>
      </c>
      <c r="D51" s="12" t="s">
        <v>34</v>
      </c>
    </row>
    <row r="52" spans="2:4" ht="15.75" customHeight="1" x14ac:dyDescent="0.25">
      <c r="B52" s="10" t="s">
        <v>52</v>
      </c>
      <c r="C52" s="11" t="s">
        <v>53</v>
      </c>
      <c r="D52" s="12"/>
    </row>
    <row r="53" spans="2:4" ht="15.75" customHeight="1" x14ac:dyDescent="0.25">
      <c r="B53" s="10">
        <v>800251569</v>
      </c>
      <c r="C53" s="11" t="s">
        <v>54</v>
      </c>
      <c r="D53" s="12"/>
    </row>
    <row r="54" spans="2:4" ht="15.75" customHeight="1" x14ac:dyDescent="0.25">
      <c r="B54" s="10">
        <v>1006122533</v>
      </c>
      <c r="C54" s="11" t="s">
        <v>55</v>
      </c>
      <c r="D54" s="12" t="s">
        <v>56</v>
      </c>
    </row>
    <row r="55" spans="2:4" ht="15.75" customHeight="1" x14ac:dyDescent="0.25">
      <c r="B55" s="10">
        <v>111046289</v>
      </c>
      <c r="C55" s="11" t="s">
        <v>185</v>
      </c>
      <c r="D55" s="12" t="s">
        <v>34</v>
      </c>
    </row>
    <row r="56" spans="2:4" ht="15.75" customHeight="1" x14ac:dyDescent="0.25">
      <c r="B56" s="10">
        <v>28542010</v>
      </c>
      <c r="C56" s="11" t="s">
        <v>187</v>
      </c>
      <c r="D56" s="12" t="s">
        <v>188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09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0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8764-7EF4-410C-93A8-D2F210CF5DB2}">
  <sheetPr>
    <pageSetUpPr fitToPage="1"/>
  </sheetPr>
  <dimension ref="A1:I58"/>
  <sheetViews>
    <sheetView zoomScale="85" zoomScaleNormal="85" workbookViewId="0">
      <selection activeCell="E46" sqref="E46"/>
    </sheetView>
  </sheetViews>
  <sheetFormatPr baseColWidth="10" defaultColWidth="18.140625" defaultRowHeight="15.75" customHeight="1" x14ac:dyDescent="0.25"/>
  <cols>
    <col min="1" max="1" width="12.85546875" customWidth="1"/>
    <col min="2" max="2" width="18.42578125" bestFit="1" customWidth="1"/>
    <col min="3" max="3" width="27" bestFit="1" customWidth="1"/>
    <col min="4" max="4" width="30.42578125" customWidth="1"/>
    <col min="5" max="5" width="78.140625" customWidth="1"/>
    <col min="6" max="6" width="17.140625" customWidth="1"/>
    <col min="7" max="7" width="62.7109375" customWidth="1"/>
    <col min="8" max="8" width="21.42578125" bestFit="1" customWidth="1"/>
  </cols>
  <sheetData>
    <row r="1" spans="1:9" ht="15.75" customHeight="1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ht="15.75" customHeight="1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ht="15.75" customHeight="1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ht="15.75" customHeight="1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ht="15.75" customHeight="1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ht="15.75" customHeight="1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ht="15.75" customHeight="1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ht="15.75" customHeight="1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ht="15.75" customHeight="1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customHeight="1" x14ac:dyDescent="0.25">
      <c r="A10" s="2"/>
      <c r="B10" s="3"/>
      <c r="C10" s="4"/>
      <c r="D10" s="5"/>
      <c r="E10" s="5"/>
      <c r="F10" s="6"/>
      <c r="G10" s="7"/>
      <c r="H10" s="8">
        <f>'MAYO 19 2026 '!H27</f>
        <v>-3328779.44</v>
      </c>
      <c r="I10" s="1"/>
    </row>
    <row r="11" spans="1:9" ht="15.75" customHeight="1" x14ac:dyDescent="0.25">
      <c r="A11" s="2"/>
      <c r="B11" s="3"/>
      <c r="C11" s="4"/>
      <c r="D11" s="5"/>
      <c r="E11" s="5"/>
      <c r="F11" s="6"/>
      <c r="G11" s="7" t="s">
        <v>233</v>
      </c>
      <c r="H11" s="8">
        <v>4000000</v>
      </c>
      <c r="I11" s="1"/>
    </row>
    <row r="12" spans="1:9" ht="15.75" customHeight="1" x14ac:dyDescent="0.25">
      <c r="A12" s="2"/>
      <c r="B12" s="3"/>
      <c r="C12" s="4"/>
      <c r="D12" s="5"/>
      <c r="E12" s="5"/>
      <c r="F12" s="6"/>
      <c r="G12" s="7"/>
      <c r="H12" s="8">
        <f>SUM(H10:H11)</f>
        <v>671220.56</v>
      </c>
      <c r="I12" s="1"/>
    </row>
    <row r="13" spans="1:9" ht="15.75" customHeight="1" x14ac:dyDescent="0.25">
      <c r="A13" s="7"/>
      <c r="B13" s="7"/>
      <c r="C13" s="7"/>
      <c r="D13" s="7"/>
      <c r="E13" s="7"/>
      <c r="F13" s="7"/>
      <c r="G13" s="7"/>
      <c r="H13" s="8"/>
      <c r="I13" s="1"/>
    </row>
    <row r="14" spans="1:9" ht="15.75" customHeight="1" x14ac:dyDescent="0.25">
      <c r="A14" s="9" t="s">
        <v>234</v>
      </c>
      <c r="B14" s="10">
        <v>93021861</v>
      </c>
      <c r="C14" s="11" t="s">
        <v>235</v>
      </c>
      <c r="D14" s="12" t="s">
        <v>215</v>
      </c>
      <c r="E14" s="12" t="s">
        <v>236</v>
      </c>
      <c r="F14" s="10">
        <v>93021861</v>
      </c>
      <c r="G14" s="11" t="s">
        <v>235</v>
      </c>
      <c r="H14" s="13">
        <v>8000</v>
      </c>
      <c r="I14" s="1"/>
    </row>
    <row r="15" spans="1:9" ht="15.75" customHeight="1" x14ac:dyDescent="0.25">
      <c r="A15" s="9" t="s">
        <v>234</v>
      </c>
      <c r="B15" s="10">
        <v>65737477</v>
      </c>
      <c r="C15" s="11" t="s">
        <v>18</v>
      </c>
      <c r="D15" s="12" t="s">
        <v>9</v>
      </c>
      <c r="E15" s="12" t="s">
        <v>237</v>
      </c>
      <c r="F15" s="10" t="s">
        <v>238</v>
      </c>
      <c r="G15" s="11" t="s">
        <v>239</v>
      </c>
      <c r="H15" s="13">
        <v>2200</v>
      </c>
      <c r="I15" s="1"/>
    </row>
    <row r="16" spans="1:9" ht="15.75" customHeight="1" x14ac:dyDescent="0.25">
      <c r="A16" s="9" t="s">
        <v>234</v>
      </c>
      <c r="B16" s="10">
        <v>65777220</v>
      </c>
      <c r="C16" s="11" t="s">
        <v>30</v>
      </c>
      <c r="D16" s="12" t="s">
        <v>31</v>
      </c>
      <c r="E16" s="12" t="s">
        <v>240</v>
      </c>
      <c r="F16" s="10">
        <v>800251569</v>
      </c>
      <c r="G16" s="11" t="s">
        <v>163</v>
      </c>
      <c r="H16" s="13">
        <v>43700</v>
      </c>
      <c r="I16" s="1"/>
    </row>
    <row r="17" spans="1:9" ht="15.75" customHeight="1" x14ac:dyDescent="0.25">
      <c r="A17" s="9" t="s">
        <v>234</v>
      </c>
      <c r="B17" s="10">
        <v>13239826</v>
      </c>
      <c r="C17" s="11" t="s">
        <v>8</v>
      </c>
      <c r="D17" s="12" t="s">
        <v>9</v>
      </c>
      <c r="E17" s="12" t="s">
        <v>167</v>
      </c>
      <c r="F17" s="10">
        <v>38225162</v>
      </c>
      <c r="G17" s="11" t="s">
        <v>192</v>
      </c>
      <c r="H17" s="13">
        <v>900</v>
      </c>
      <c r="I17" s="1"/>
    </row>
    <row r="18" spans="1:9" ht="15.75" customHeight="1" x14ac:dyDescent="0.25">
      <c r="A18" s="9" t="s">
        <v>234</v>
      </c>
      <c r="B18" s="10">
        <v>93389605</v>
      </c>
      <c r="C18" s="11" t="s">
        <v>241</v>
      </c>
      <c r="D18" s="12" t="s">
        <v>242</v>
      </c>
      <c r="E18" s="12" t="s">
        <v>243</v>
      </c>
      <c r="F18" s="10" t="s">
        <v>244</v>
      </c>
      <c r="G18" s="11" t="s">
        <v>245</v>
      </c>
      <c r="H18" s="13">
        <v>14900</v>
      </c>
      <c r="I18" s="1"/>
    </row>
    <row r="19" spans="1:9" ht="15.75" customHeight="1" x14ac:dyDescent="0.25">
      <c r="A19" s="9" t="s">
        <v>234</v>
      </c>
      <c r="B19" s="10">
        <v>93389605</v>
      </c>
      <c r="C19" s="11" t="s">
        <v>241</v>
      </c>
      <c r="D19" s="12" t="s">
        <v>242</v>
      </c>
      <c r="E19" s="12" t="s">
        <v>246</v>
      </c>
      <c r="F19" s="10" t="s">
        <v>247</v>
      </c>
      <c r="G19" s="11" t="s">
        <v>248</v>
      </c>
      <c r="H19" s="13">
        <v>2400</v>
      </c>
      <c r="I19" s="1"/>
    </row>
    <row r="20" spans="1:9" ht="15.75" customHeight="1" x14ac:dyDescent="0.25">
      <c r="A20" s="9" t="s">
        <v>234</v>
      </c>
      <c r="B20" s="10">
        <v>65737477</v>
      </c>
      <c r="C20" s="11" t="s">
        <v>18</v>
      </c>
      <c r="D20" s="12" t="s">
        <v>9</v>
      </c>
      <c r="E20" s="12" t="s">
        <v>249</v>
      </c>
      <c r="F20" s="10" t="s">
        <v>250</v>
      </c>
      <c r="G20" s="11" t="s">
        <v>251</v>
      </c>
      <c r="H20" s="13">
        <v>23000</v>
      </c>
      <c r="I20" s="1"/>
    </row>
    <row r="21" spans="1:9" ht="15.75" customHeight="1" x14ac:dyDescent="0.25">
      <c r="A21" s="9"/>
      <c r="B21" s="10"/>
      <c r="C21" s="11"/>
      <c r="D21" s="12"/>
      <c r="E21" s="12"/>
      <c r="F21" s="10"/>
      <c r="G21" s="11"/>
      <c r="H21" s="13"/>
      <c r="I21" s="1"/>
    </row>
    <row r="22" spans="1:9" ht="15.75" customHeight="1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ht="15.75" customHeight="1" x14ac:dyDescent="0.25">
      <c r="A23" s="9"/>
      <c r="B23" s="10"/>
      <c r="C23" s="11"/>
      <c r="D23" s="12"/>
      <c r="E23" s="12"/>
      <c r="F23" s="10"/>
      <c r="G23" s="11"/>
      <c r="H23" s="13"/>
      <c r="I23" s="1"/>
    </row>
    <row r="24" spans="1:9" ht="15.75" customHeight="1" x14ac:dyDescent="0.25">
      <c r="A24" s="9"/>
      <c r="B24" s="10"/>
      <c r="C24" s="11"/>
      <c r="D24" s="12"/>
      <c r="E24" s="12"/>
      <c r="F24" s="10"/>
      <c r="G24" s="11"/>
      <c r="H24" s="13"/>
      <c r="I24" s="1"/>
    </row>
    <row r="25" spans="1:9" ht="15.75" customHeight="1" x14ac:dyDescent="0.25">
      <c r="A25" s="9"/>
      <c r="B25" s="10"/>
      <c r="C25" s="11"/>
      <c r="D25" s="12"/>
      <c r="E25" s="12"/>
      <c r="F25" s="10"/>
      <c r="G25" s="11"/>
      <c r="H25" s="13"/>
      <c r="I25" s="1"/>
    </row>
    <row r="26" spans="1:9" ht="15.75" customHeight="1" x14ac:dyDescent="0.25">
      <c r="A26" s="9"/>
      <c r="B26" s="10"/>
      <c r="C26" s="11"/>
      <c r="D26" s="12"/>
      <c r="E26" s="12"/>
      <c r="F26" s="10"/>
      <c r="G26" s="11"/>
      <c r="H26" s="13"/>
      <c r="I26" s="1"/>
    </row>
    <row r="27" spans="1:9" ht="15.75" customHeight="1" x14ac:dyDescent="0.25">
      <c r="A27" s="9"/>
      <c r="B27" s="10"/>
      <c r="C27" s="11"/>
      <c r="D27" s="12"/>
      <c r="E27" s="12"/>
      <c r="F27" s="14"/>
      <c r="G27" s="15"/>
      <c r="H27" s="13">
        <f>SUM(H14:H26)</f>
        <v>95100</v>
      </c>
      <c r="I27" s="1"/>
    </row>
    <row r="28" spans="1:9" ht="15.75" customHeight="1" x14ac:dyDescent="0.25">
      <c r="A28" s="9"/>
      <c r="B28" s="16"/>
      <c r="C28" s="11"/>
      <c r="D28" s="12"/>
      <c r="E28" s="12"/>
      <c r="F28" s="14"/>
      <c r="G28" s="15"/>
      <c r="H28" s="13"/>
      <c r="I28" s="1"/>
    </row>
    <row r="29" spans="1:9" ht="15.75" customHeight="1" x14ac:dyDescent="0.25">
      <c r="A29" s="9"/>
      <c r="B29" s="16"/>
      <c r="C29" s="11"/>
      <c r="D29" s="12"/>
      <c r="E29" s="12"/>
      <c r="F29" s="14"/>
      <c r="G29" s="15"/>
      <c r="H29" s="13">
        <f>+H12-H27</f>
        <v>576120.56000000006</v>
      </c>
      <c r="I29" s="1"/>
    </row>
    <row r="30" spans="1:9" ht="15.75" customHeight="1" x14ac:dyDescent="0.25">
      <c r="A30" s="9"/>
      <c r="B30" s="16"/>
      <c r="C30" s="11"/>
      <c r="D30" s="12"/>
      <c r="E30" s="17"/>
      <c r="F30" s="14"/>
      <c r="G30" s="11"/>
      <c r="H30" s="18"/>
      <c r="I30" s="1"/>
    </row>
    <row r="32" spans="1:9" ht="15.75" customHeight="1" x14ac:dyDescent="0.25">
      <c r="B32" s="10">
        <v>110580597</v>
      </c>
      <c r="C32" s="11" t="s">
        <v>28</v>
      </c>
      <c r="D32" s="12" t="s">
        <v>29</v>
      </c>
    </row>
    <row r="33" spans="2:4" ht="15.75" customHeight="1" x14ac:dyDescent="0.25">
      <c r="B33" s="10">
        <v>65777220</v>
      </c>
      <c r="C33" s="11" t="s">
        <v>30</v>
      </c>
      <c r="D33" s="12" t="s">
        <v>31</v>
      </c>
    </row>
    <row r="35" spans="2:4" ht="15.75" customHeight="1" x14ac:dyDescent="0.25">
      <c r="B35" s="10">
        <v>14106438</v>
      </c>
      <c r="C35" s="11" t="s">
        <v>32</v>
      </c>
      <c r="D35" s="12" t="s">
        <v>17</v>
      </c>
    </row>
    <row r="36" spans="2:4" ht="15.75" customHeight="1" x14ac:dyDescent="0.25">
      <c r="B36" s="10">
        <v>5939109</v>
      </c>
      <c r="C36" s="11" t="s">
        <v>33</v>
      </c>
      <c r="D36" s="12" t="s">
        <v>34</v>
      </c>
    </row>
    <row r="37" spans="2:4" ht="15.75" customHeight="1" x14ac:dyDescent="0.25">
      <c r="B37" s="10">
        <v>13239826</v>
      </c>
      <c r="C37" s="11" t="s">
        <v>8</v>
      </c>
      <c r="D37" s="12" t="s">
        <v>9</v>
      </c>
    </row>
    <row r="38" spans="2:4" ht="15.75" customHeight="1" x14ac:dyDescent="0.25">
      <c r="B38" s="10">
        <v>65762110</v>
      </c>
      <c r="C38" s="11" t="s">
        <v>16</v>
      </c>
      <c r="D38" s="12" t="s">
        <v>17</v>
      </c>
    </row>
    <row r="39" spans="2:4" ht="15.75" customHeight="1" x14ac:dyDescent="0.25">
      <c r="B39" s="10">
        <v>1032372158</v>
      </c>
      <c r="C39" s="11" t="s">
        <v>35</v>
      </c>
      <c r="D39" s="12" t="s">
        <v>34</v>
      </c>
    </row>
    <row r="40" spans="2:4" ht="15.75" customHeight="1" x14ac:dyDescent="0.25">
      <c r="B40" s="10">
        <v>1110511708</v>
      </c>
      <c r="C40" s="11" t="s">
        <v>24</v>
      </c>
      <c r="D40" s="12" t="s">
        <v>25</v>
      </c>
    </row>
    <row r="41" spans="2:4" ht="15.75" customHeight="1" x14ac:dyDescent="0.25">
      <c r="B41" s="10">
        <v>1110546445</v>
      </c>
      <c r="C41" s="11" t="s">
        <v>36</v>
      </c>
      <c r="D41" s="12" t="s">
        <v>37</v>
      </c>
    </row>
    <row r="42" spans="2:4" ht="15.75" customHeight="1" x14ac:dyDescent="0.25">
      <c r="B42" s="10">
        <v>1006123077</v>
      </c>
      <c r="C42" s="11" t="s">
        <v>38</v>
      </c>
      <c r="D42" s="12" t="s">
        <v>39</v>
      </c>
    </row>
    <row r="43" spans="2:4" ht="15.75" customHeight="1" x14ac:dyDescent="0.25">
      <c r="B43" s="10">
        <v>14236999</v>
      </c>
      <c r="C43" s="11" t="s">
        <v>13</v>
      </c>
      <c r="D43" s="12" t="s">
        <v>14</v>
      </c>
    </row>
    <row r="44" spans="2:4" ht="15.75" customHeight="1" x14ac:dyDescent="0.25">
      <c r="B44" s="10">
        <v>1234638696</v>
      </c>
      <c r="C44" s="11" t="s">
        <v>40</v>
      </c>
      <c r="D44" s="12" t="s">
        <v>41</v>
      </c>
    </row>
    <row r="45" spans="2:4" ht="15.75" customHeight="1" x14ac:dyDescent="0.25">
      <c r="B45" s="10">
        <v>1000775862</v>
      </c>
      <c r="C45" s="11" t="s">
        <v>42</v>
      </c>
      <c r="D45" s="12" t="s">
        <v>41</v>
      </c>
    </row>
    <row r="46" spans="2:4" ht="15.75" customHeight="1" x14ac:dyDescent="0.25">
      <c r="B46" s="10">
        <v>5927717</v>
      </c>
      <c r="C46" s="11" t="s">
        <v>43</v>
      </c>
      <c r="D46" s="12" t="s">
        <v>41</v>
      </c>
    </row>
    <row r="47" spans="2:4" ht="15.75" customHeight="1" x14ac:dyDescent="0.25">
      <c r="B47" s="10">
        <v>1110442630</v>
      </c>
      <c r="C47" s="11" t="s">
        <v>44</v>
      </c>
      <c r="D47" s="12" t="s">
        <v>41</v>
      </c>
    </row>
    <row r="48" spans="2:4" ht="15.75" customHeight="1" x14ac:dyDescent="0.25">
      <c r="B48" s="10">
        <v>1007832826</v>
      </c>
      <c r="C48" s="11" t="s">
        <v>45</v>
      </c>
      <c r="D48" s="12" t="s">
        <v>46</v>
      </c>
    </row>
    <row r="49" spans="2:4" ht="15.75" customHeight="1" x14ac:dyDescent="0.25">
      <c r="B49" s="10" t="s">
        <v>47</v>
      </c>
      <c r="C49" s="11" t="s">
        <v>48</v>
      </c>
      <c r="D49" s="12"/>
    </row>
    <row r="50" spans="2:4" ht="15.75" customHeight="1" x14ac:dyDescent="0.25">
      <c r="B50" s="10">
        <v>1110546445</v>
      </c>
      <c r="C50" s="11" t="s">
        <v>36</v>
      </c>
      <c r="D50" s="12" t="s">
        <v>37</v>
      </c>
    </row>
    <row r="51" spans="2:4" ht="15.75" customHeight="1" x14ac:dyDescent="0.25">
      <c r="B51" s="10">
        <v>1005717607</v>
      </c>
      <c r="C51" s="11" t="s">
        <v>49</v>
      </c>
      <c r="D51" s="12" t="s">
        <v>37</v>
      </c>
    </row>
    <row r="52" spans="2:4" ht="15.75" customHeight="1" x14ac:dyDescent="0.25">
      <c r="B52" s="10">
        <v>14243741</v>
      </c>
      <c r="C52" s="11" t="s">
        <v>50</v>
      </c>
      <c r="D52" s="12" t="s">
        <v>51</v>
      </c>
    </row>
    <row r="53" spans="2:4" ht="15.75" customHeight="1" x14ac:dyDescent="0.25">
      <c r="B53" s="10">
        <v>1110442630</v>
      </c>
      <c r="C53" s="11" t="s">
        <v>44</v>
      </c>
      <c r="D53" s="12" t="s">
        <v>34</v>
      </c>
    </row>
    <row r="54" spans="2:4" ht="15.75" customHeight="1" x14ac:dyDescent="0.25">
      <c r="B54" s="10" t="s">
        <v>52</v>
      </c>
      <c r="C54" s="11" t="s">
        <v>53</v>
      </c>
      <c r="D54" s="12"/>
    </row>
    <row r="55" spans="2:4" ht="15.75" customHeight="1" x14ac:dyDescent="0.25">
      <c r="B55" s="10">
        <v>800251569</v>
      </c>
      <c r="C55" s="11" t="s">
        <v>54</v>
      </c>
      <c r="D55" s="12"/>
    </row>
    <row r="56" spans="2:4" ht="15.75" customHeight="1" x14ac:dyDescent="0.25">
      <c r="B56" s="10">
        <v>1006122533</v>
      </c>
      <c r="C56" s="11" t="s">
        <v>55</v>
      </c>
      <c r="D56" s="12" t="s">
        <v>56</v>
      </c>
    </row>
    <row r="57" spans="2:4" ht="15.75" customHeight="1" x14ac:dyDescent="0.25">
      <c r="B57" s="10">
        <v>111046289</v>
      </c>
      <c r="C57" s="11" t="s">
        <v>185</v>
      </c>
      <c r="D57" s="12" t="s">
        <v>34</v>
      </c>
    </row>
    <row r="58" spans="2:4" ht="15.75" customHeight="1" x14ac:dyDescent="0.25">
      <c r="B58" s="10">
        <v>28542010</v>
      </c>
      <c r="C58" s="11" t="s">
        <v>187</v>
      </c>
      <c r="D58" s="12" t="s">
        <v>188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5" r:id="rId4" name="Button 1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46" r:id="rId5" name="Button 2">
              <controlPr defaultSize="0" print="0" autoFill="0" autoPict="0">
                <anchor moveWithCells="1" sizeWithCells="1">
                  <from>
                    <xdr:col>2</xdr:col>
                    <xdr:colOff>114300</xdr:colOff>
                    <xdr:row>0</xdr:row>
                    <xdr:rowOff>180975</xdr:rowOff>
                  </from>
                  <to>
                    <xdr:col>2</xdr:col>
                    <xdr:colOff>1609725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4982-8497-48D4-9B82-EA2225F57E31}">
  <dimension ref="A1:I49"/>
  <sheetViews>
    <sheetView topLeftCell="A19" workbookViewId="0">
      <selection activeCell="B16" sqref="B16:D16"/>
    </sheetView>
  </sheetViews>
  <sheetFormatPr baseColWidth="10" defaultColWidth="9.140625" defaultRowHeight="15" x14ac:dyDescent="0.25"/>
  <cols>
    <col min="1" max="1" width="12" bestFit="1" customWidth="1"/>
    <col min="2" max="2" width="18" bestFit="1" customWidth="1"/>
    <col min="3" max="3" width="26.42578125" bestFit="1" customWidth="1"/>
    <col min="4" max="4" width="28.140625" bestFit="1" customWidth="1"/>
    <col min="5" max="5" width="34.28515625" bestFit="1" customWidth="1"/>
    <col min="6" max="6" width="15" bestFit="1" customWidth="1"/>
    <col min="7" max="7" width="32" bestFit="1" customWidth="1"/>
    <col min="8" max="8" width="18.42578125" bestFit="1" customWidth="1"/>
  </cols>
  <sheetData>
    <row r="1" spans="1:9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x14ac:dyDescent="0.25">
      <c r="A10" s="2"/>
      <c r="B10" s="3"/>
      <c r="C10" s="4"/>
      <c r="D10" s="5"/>
      <c r="E10" s="5"/>
      <c r="F10" s="6"/>
      <c r="G10" s="7"/>
      <c r="H10" s="8">
        <f>'MAYO 20 2026  '!H29</f>
        <v>576120.56000000006</v>
      </c>
      <c r="I10" s="1"/>
    </row>
    <row r="11" spans="1:9" ht="15.75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x14ac:dyDescent="0.25">
      <c r="A12" s="9">
        <v>46163</v>
      </c>
      <c r="B12" s="10">
        <v>65762110</v>
      </c>
      <c r="C12" s="11" t="s">
        <v>16</v>
      </c>
      <c r="D12" s="12" t="s">
        <v>17</v>
      </c>
      <c r="E12" s="12" t="s">
        <v>252</v>
      </c>
      <c r="F12" s="10">
        <v>800251569</v>
      </c>
      <c r="G12" s="11" t="s">
        <v>54</v>
      </c>
      <c r="H12" s="13">
        <v>15000</v>
      </c>
      <c r="I12" s="1"/>
    </row>
    <row r="13" spans="1:9" x14ac:dyDescent="0.25">
      <c r="A13" s="9">
        <v>46163</v>
      </c>
      <c r="B13" s="10">
        <v>14236999</v>
      </c>
      <c r="C13" s="11" t="s">
        <v>13</v>
      </c>
      <c r="D13" s="12" t="s">
        <v>14</v>
      </c>
      <c r="E13" s="12" t="s">
        <v>253</v>
      </c>
      <c r="F13" s="10" t="s">
        <v>226</v>
      </c>
      <c r="G13" s="11" t="s">
        <v>254</v>
      </c>
      <c r="H13" s="13">
        <v>14820</v>
      </c>
      <c r="I13" s="1"/>
    </row>
    <row r="14" spans="1:9" x14ac:dyDescent="0.25">
      <c r="A14" s="9">
        <v>46163</v>
      </c>
      <c r="B14" s="10">
        <v>13239826</v>
      </c>
      <c r="C14" s="11" t="s">
        <v>8</v>
      </c>
      <c r="D14" s="12" t="s">
        <v>9</v>
      </c>
      <c r="E14" s="12" t="s">
        <v>74</v>
      </c>
      <c r="F14" s="10" t="s">
        <v>255</v>
      </c>
      <c r="G14" s="11" t="s">
        <v>256</v>
      </c>
      <c r="H14" s="13">
        <v>1600</v>
      </c>
      <c r="I14" s="1"/>
    </row>
    <row r="15" spans="1:9" x14ac:dyDescent="0.25">
      <c r="A15" s="9">
        <v>46163</v>
      </c>
      <c r="B15" s="10">
        <v>13239826</v>
      </c>
      <c r="C15" s="11" t="s">
        <v>8</v>
      </c>
      <c r="D15" s="12" t="s">
        <v>9</v>
      </c>
      <c r="E15" s="12" t="s">
        <v>74</v>
      </c>
      <c r="F15" s="10" t="s">
        <v>168</v>
      </c>
      <c r="G15" s="11" t="s">
        <v>257</v>
      </c>
      <c r="H15" s="13">
        <v>4200</v>
      </c>
      <c r="I15" s="1"/>
    </row>
    <row r="16" spans="1:9" x14ac:dyDescent="0.25">
      <c r="A16" s="9">
        <v>46163</v>
      </c>
      <c r="B16" s="10">
        <v>65737477</v>
      </c>
      <c r="C16" s="11" t="s">
        <v>18</v>
      </c>
      <c r="D16" s="12" t="s">
        <v>9</v>
      </c>
      <c r="E16" s="12" t="s">
        <v>258</v>
      </c>
      <c r="F16" s="10" t="s">
        <v>226</v>
      </c>
      <c r="G16" s="11" t="s">
        <v>254</v>
      </c>
      <c r="H16" s="13">
        <v>12100</v>
      </c>
      <c r="I16" s="1"/>
    </row>
    <row r="17" spans="1:9" x14ac:dyDescent="0.25">
      <c r="A17" s="9"/>
      <c r="B17" s="10"/>
      <c r="C17" s="11"/>
      <c r="D17" s="12"/>
      <c r="E17" s="12"/>
      <c r="F17" s="10"/>
      <c r="G17" s="11"/>
      <c r="H17" s="13"/>
      <c r="I17" s="1"/>
    </row>
    <row r="18" spans="1:9" x14ac:dyDescent="0.25">
      <c r="A18" s="9"/>
      <c r="B18" s="10"/>
      <c r="C18" s="11"/>
      <c r="D18" s="12"/>
      <c r="E18" s="12"/>
      <c r="F18" s="14"/>
      <c r="G18" s="15"/>
      <c r="H18" s="13">
        <f>SUM(H12:H17)</f>
        <v>47720</v>
      </c>
      <c r="I18" s="1"/>
    </row>
    <row r="19" spans="1:9" x14ac:dyDescent="0.25">
      <c r="A19" s="9"/>
      <c r="B19" s="16"/>
      <c r="C19" s="11"/>
      <c r="D19" s="12"/>
      <c r="E19" s="12"/>
      <c r="F19" s="14"/>
      <c r="G19" s="15"/>
      <c r="H19" s="13"/>
      <c r="I19" s="1"/>
    </row>
    <row r="20" spans="1:9" x14ac:dyDescent="0.25">
      <c r="A20" s="9"/>
      <c r="B20" s="16"/>
      <c r="C20" s="11"/>
      <c r="D20" s="12"/>
      <c r="E20" s="12"/>
      <c r="F20" s="14"/>
      <c r="G20" s="15"/>
      <c r="H20" s="13">
        <f>+H10-H18</f>
        <v>528400.56000000006</v>
      </c>
      <c r="I20" s="1"/>
    </row>
    <row r="21" spans="1:9" x14ac:dyDescent="0.25">
      <c r="A21" s="9"/>
      <c r="B21" s="16"/>
      <c r="C21" s="11"/>
      <c r="D21" s="12"/>
      <c r="E21" s="17"/>
      <c r="F21" s="14"/>
      <c r="G21" s="11"/>
      <c r="H21" s="18"/>
      <c r="I21" s="1"/>
    </row>
    <row r="23" spans="1:9" x14ac:dyDescent="0.25">
      <c r="B23" s="10">
        <v>110580597</v>
      </c>
      <c r="C23" s="11" t="s">
        <v>28</v>
      </c>
      <c r="D23" s="12" t="s">
        <v>29</v>
      </c>
    </row>
    <row r="24" spans="1:9" x14ac:dyDescent="0.25">
      <c r="B24" s="10">
        <v>65777220</v>
      </c>
      <c r="C24" s="11" t="s">
        <v>30</v>
      </c>
      <c r="D24" s="12" t="s">
        <v>31</v>
      </c>
    </row>
    <row r="26" spans="1:9" x14ac:dyDescent="0.25">
      <c r="B26" s="10">
        <v>14106438</v>
      </c>
      <c r="C26" s="11" t="s">
        <v>32</v>
      </c>
      <c r="D26" s="12" t="s">
        <v>17</v>
      </c>
    </row>
    <row r="27" spans="1:9" x14ac:dyDescent="0.25">
      <c r="B27" s="10">
        <v>5939109</v>
      </c>
      <c r="C27" s="11" t="s">
        <v>33</v>
      </c>
      <c r="D27" s="12" t="s">
        <v>34</v>
      </c>
    </row>
    <row r="28" spans="1:9" x14ac:dyDescent="0.25">
      <c r="B28" s="10">
        <v>13239826</v>
      </c>
      <c r="C28" s="11" t="s">
        <v>8</v>
      </c>
      <c r="D28" s="12" t="s">
        <v>9</v>
      </c>
    </row>
    <row r="29" spans="1:9" x14ac:dyDescent="0.25">
      <c r="B29" s="10">
        <v>65762110</v>
      </c>
      <c r="C29" s="11" t="s">
        <v>16</v>
      </c>
      <c r="D29" s="12" t="s">
        <v>17</v>
      </c>
    </row>
    <row r="30" spans="1:9" x14ac:dyDescent="0.25">
      <c r="B30" s="10">
        <v>1032372158</v>
      </c>
      <c r="C30" s="11" t="s">
        <v>35</v>
      </c>
      <c r="D30" s="12" t="s">
        <v>34</v>
      </c>
    </row>
    <row r="31" spans="1:9" x14ac:dyDescent="0.25">
      <c r="B31" s="10">
        <v>1110511708</v>
      </c>
      <c r="C31" s="11" t="s">
        <v>24</v>
      </c>
      <c r="D31" s="12" t="s">
        <v>25</v>
      </c>
    </row>
    <row r="32" spans="1:9" x14ac:dyDescent="0.25">
      <c r="B32" s="10">
        <v>1110546445</v>
      </c>
      <c r="C32" s="11" t="s">
        <v>36</v>
      </c>
      <c r="D32" s="12" t="s">
        <v>37</v>
      </c>
    </row>
    <row r="33" spans="2:4" x14ac:dyDescent="0.25">
      <c r="B33" s="10">
        <v>1006123077</v>
      </c>
      <c r="C33" s="11" t="s">
        <v>38</v>
      </c>
      <c r="D33" s="12" t="s">
        <v>39</v>
      </c>
    </row>
    <row r="34" spans="2:4" x14ac:dyDescent="0.25">
      <c r="B34" s="10">
        <v>14236999</v>
      </c>
      <c r="C34" s="11" t="s">
        <v>13</v>
      </c>
      <c r="D34" s="12" t="s">
        <v>14</v>
      </c>
    </row>
    <row r="35" spans="2:4" x14ac:dyDescent="0.25">
      <c r="B35" s="10">
        <v>1234638696</v>
      </c>
      <c r="C35" s="11" t="s">
        <v>40</v>
      </c>
      <c r="D35" s="12" t="s">
        <v>41</v>
      </c>
    </row>
    <row r="36" spans="2:4" x14ac:dyDescent="0.25">
      <c r="B36" s="10">
        <v>1000775862</v>
      </c>
      <c r="C36" s="11" t="s">
        <v>42</v>
      </c>
      <c r="D36" s="12" t="s">
        <v>41</v>
      </c>
    </row>
    <row r="37" spans="2:4" x14ac:dyDescent="0.25">
      <c r="B37" s="10">
        <v>5927717</v>
      </c>
      <c r="C37" s="11" t="s">
        <v>43</v>
      </c>
      <c r="D37" s="12" t="s">
        <v>41</v>
      </c>
    </row>
    <row r="38" spans="2:4" x14ac:dyDescent="0.25">
      <c r="B38" s="10">
        <v>1110442630</v>
      </c>
      <c r="C38" s="11" t="s">
        <v>44</v>
      </c>
      <c r="D38" s="12" t="s">
        <v>41</v>
      </c>
    </row>
    <row r="39" spans="2:4" x14ac:dyDescent="0.25">
      <c r="B39" s="10">
        <v>1007832826</v>
      </c>
      <c r="C39" s="11" t="s">
        <v>45</v>
      </c>
      <c r="D39" s="12" t="s">
        <v>46</v>
      </c>
    </row>
    <row r="40" spans="2:4" x14ac:dyDescent="0.25">
      <c r="B40" s="10" t="s">
        <v>47</v>
      </c>
      <c r="C40" s="11" t="s">
        <v>48</v>
      </c>
      <c r="D40" s="12"/>
    </row>
    <row r="41" spans="2:4" x14ac:dyDescent="0.25">
      <c r="B41" s="10">
        <v>1110546445</v>
      </c>
      <c r="C41" s="11" t="s">
        <v>36</v>
      </c>
      <c r="D41" s="12" t="s">
        <v>37</v>
      </c>
    </row>
    <row r="42" spans="2:4" x14ac:dyDescent="0.25">
      <c r="B42" s="10">
        <v>1005717607</v>
      </c>
      <c r="C42" s="11" t="s">
        <v>49</v>
      </c>
      <c r="D42" s="12" t="s">
        <v>37</v>
      </c>
    </row>
    <row r="43" spans="2:4" x14ac:dyDescent="0.25">
      <c r="B43" s="10">
        <v>14243741</v>
      </c>
      <c r="C43" s="11" t="s">
        <v>50</v>
      </c>
      <c r="D43" s="12" t="s">
        <v>51</v>
      </c>
    </row>
    <row r="44" spans="2:4" x14ac:dyDescent="0.25">
      <c r="B44" s="10">
        <v>1110442630</v>
      </c>
      <c r="C44" s="11" t="s">
        <v>44</v>
      </c>
      <c r="D44" s="12" t="s">
        <v>34</v>
      </c>
    </row>
    <row r="45" spans="2:4" x14ac:dyDescent="0.25">
      <c r="B45" s="10" t="s">
        <v>52</v>
      </c>
      <c r="C45" s="11" t="s">
        <v>53</v>
      </c>
      <c r="D45" s="12"/>
    </row>
    <row r="46" spans="2:4" x14ac:dyDescent="0.25">
      <c r="B46" s="10">
        <v>800251569</v>
      </c>
      <c r="C46" s="11" t="s">
        <v>54</v>
      </c>
      <c r="D46" s="12"/>
    </row>
    <row r="47" spans="2:4" x14ac:dyDescent="0.25">
      <c r="B47" s="10">
        <v>1006122533</v>
      </c>
      <c r="C47" s="11" t="s">
        <v>55</v>
      </c>
      <c r="D47" s="12" t="s">
        <v>56</v>
      </c>
    </row>
    <row r="48" spans="2:4" x14ac:dyDescent="0.25">
      <c r="B48" s="10">
        <v>111046289</v>
      </c>
      <c r="C48" s="11" t="s">
        <v>185</v>
      </c>
      <c r="D48" s="12" t="s">
        <v>34</v>
      </c>
    </row>
    <row r="49" spans="2:4" x14ac:dyDescent="0.25">
      <c r="B49" s="10">
        <v>28542010</v>
      </c>
      <c r="C49" s="11" t="s">
        <v>187</v>
      </c>
      <c r="D49" s="12" t="s">
        <v>188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569" r:id="rId3" name="Button 1">
              <controlPr defaultSize="0" print="0" autoFill="0" autoPict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A6C7-1280-4915-AED6-CC73C2B38BC5}">
  <sheetPr>
    <pageSetUpPr fitToPage="1"/>
  </sheetPr>
  <dimension ref="A1:I52"/>
  <sheetViews>
    <sheetView workbookViewId="0">
      <selection activeCell="E27" sqref="E27"/>
    </sheetView>
  </sheetViews>
  <sheetFormatPr baseColWidth="10" defaultColWidth="9.140625" defaultRowHeight="15" x14ac:dyDescent="0.25"/>
  <cols>
    <col min="1" max="1" width="12" bestFit="1" customWidth="1"/>
    <col min="2" max="2" width="18" bestFit="1" customWidth="1"/>
    <col min="3" max="3" width="26.42578125" bestFit="1" customWidth="1"/>
    <col min="4" max="4" width="28.140625" bestFit="1" customWidth="1"/>
    <col min="5" max="5" width="55.85546875" bestFit="1" customWidth="1"/>
    <col min="6" max="6" width="11.5703125" bestFit="1" customWidth="1"/>
    <col min="7" max="7" width="26.28515625" bestFit="1" customWidth="1"/>
    <col min="8" max="8" width="18.42578125" bestFit="1" customWidth="1"/>
  </cols>
  <sheetData>
    <row r="1" spans="1:9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x14ac:dyDescent="0.25">
      <c r="A10" s="2"/>
      <c r="B10" s="3"/>
      <c r="C10" s="4"/>
      <c r="D10" s="5"/>
      <c r="E10" s="5"/>
      <c r="F10" s="6"/>
      <c r="G10" s="7"/>
      <c r="H10" s="8">
        <f>'MAYO 21 2026'!H20</f>
        <v>528400.56000000006</v>
      </c>
      <c r="I10" s="1"/>
    </row>
    <row r="11" spans="1:9" ht="15.75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x14ac:dyDescent="0.25">
      <c r="A12" s="9">
        <v>46164</v>
      </c>
      <c r="B12" s="10">
        <v>5939109</v>
      </c>
      <c r="C12" s="11" t="s">
        <v>33</v>
      </c>
      <c r="D12" s="12" t="s">
        <v>34</v>
      </c>
      <c r="E12" s="12" t="s">
        <v>259</v>
      </c>
      <c r="F12" s="10">
        <v>5939109</v>
      </c>
      <c r="G12" s="11" t="s">
        <v>33</v>
      </c>
      <c r="H12" s="13">
        <v>10000</v>
      </c>
      <c r="I12" s="1"/>
    </row>
    <row r="13" spans="1:9" x14ac:dyDescent="0.25">
      <c r="A13" s="9">
        <v>46164</v>
      </c>
      <c r="B13" s="10">
        <v>65737477</v>
      </c>
      <c r="C13" s="11" t="s">
        <v>18</v>
      </c>
      <c r="D13" s="12" t="s">
        <v>9</v>
      </c>
      <c r="E13" s="12" t="s">
        <v>260</v>
      </c>
      <c r="F13" s="10">
        <v>65737477</v>
      </c>
      <c r="G13" s="11" t="s">
        <v>18</v>
      </c>
      <c r="H13" s="13">
        <v>12000</v>
      </c>
      <c r="I13" s="1"/>
    </row>
    <row r="14" spans="1:9" x14ac:dyDescent="0.25">
      <c r="A14" s="9">
        <v>46164</v>
      </c>
      <c r="B14" s="10">
        <v>93389805</v>
      </c>
      <c r="C14" s="11" t="s">
        <v>241</v>
      </c>
      <c r="D14" s="12" t="s">
        <v>34</v>
      </c>
      <c r="E14" s="12" t="s">
        <v>261</v>
      </c>
      <c r="F14" s="10">
        <v>93389805</v>
      </c>
      <c r="G14" s="11" t="s">
        <v>241</v>
      </c>
      <c r="H14" s="13">
        <v>40000</v>
      </c>
      <c r="I14" s="1"/>
    </row>
    <row r="15" spans="1:9" x14ac:dyDescent="0.25">
      <c r="A15" s="9">
        <v>46164</v>
      </c>
      <c r="B15" s="10">
        <v>65737477</v>
      </c>
      <c r="C15" s="11" t="s">
        <v>18</v>
      </c>
      <c r="D15" s="12" t="s">
        <v>9</v>
      </c>
      <c r="E15" s="12" t="s">
        <v>265</v>
      </c>
      <c r="F15" s="10">
        <v>65737477</v>
      </c>
      <c r="G15" s="11" t="s">
        <v>18</v>
      </c>
      <c r="H15" s="13">
        <v>7000</v>
      </c>
      <c r="I15" s="1"/>
    </row>
    <row r="16" spans="1:9" x14ac:dyDescent="0.25">
      <c r="A16" s="9">
        <v>46164</v>
      </c>
      <c r="B16" s="10">
        <v>13239826</v>
      </c>
      <c r="C16" s="11" t="s">
        <v>8</v>
      </c>
      <c r="D16" s="12" t="s">
        <v>9</v>
      </c>
      <c r="E16" s="12" t="s">
        <v>262</v>
      </c>
      <c r="F16" s="10">
        <v>13239826</v>
      </c>
      <c r="G16" s="11" t="s">
        <v>8</v>
      </c>
      <c r="H16" s="13">
        <v>23000</v>
      </c>
      <c r="I16" s="1"/>
    </row>
    <row r="17" spans="1:9" x14ac:dyDescent="0.25">
      <c r="A17" s="9">
        <v>46164</v>
      </c>
      <c r="B17" s="10">
        <v>65737477</v>
      </c>
      <c r="C17" s="11" t="s">
        <v>18</v>
      </c>
      <c r="D17" s="12" t="s">
        <v>9</v>
      </c>
      <c r="E17" s="12" t="s">
        <v>263</v>
      </c>
      <c r="F17" s="10">
        <v>65737477</v>
      </c>
      <c r="G17" s="11" t="s">
        <v>18</v>
      </c>
      <c r="H17" s="13">
        <v>19300</v>
      </c>
      <c r="I17" s="1"/>
    </row>
    <row r="18" spans="1:9" x14ac:dyDescent="0.25">
      <c r="A18" s="9">
        <v>46164</v>
      </c>
      <c r="B18" s="10">
        <v>65737477</v>
      </c>
      <c r="C18" s="11" t="s">
        <v>18</v>
      </c>
      <c r="D18" s="12" t="s">
        <v>9</v>
      </c>
      <c r="E18" s="12" t="s">
        <v>264</v>
      </c>
      <c r="F18" s="10">
        <v>65737477</v>
      </c>
      <c r="G18" s="11" t="s">
        <v>18</v>
      </c>
      <c r="H18" s="13">
        <v>19000</v>
      </c>
      <c r="I18" s="1"/>
    </row>
    <row r="19" spans="1:9" x14ac:dyDescent="0.25">
      <c r="A19" s="9"/>
      <c r="B19" s="10"/>
      <c r="C19" s="11"/>
      <c r="D19" s="12"/>
      <c r="E19" s="12"/>
      <c r="F19" s="10"/>
      <c r="G19" s="11"/>
      <c r="H19" s="13"/>
      <c r="I19" s="1"/>
    </row>
    <row r="20" spans="1:9" x14ac:dyDescent="0.25">
      <c r="A20" s="9"/>
      <c r="B20" s="10"/>
      <c r="C20" s="11"/>
      <c r="D20" s="12"/>
      <c r="E20" s="12"/>
      <c r="F20" s="14"/>
      <c r="G20" s="15"/>
      <c r="H20" s="13">
        <f>SUM(H12:H19)</f>
        <v>130300</v>
      </c>
      <c r="I20" s="1"/>
    </row>
    <row r="21" spans="1:9" x14ac:dyDescent="0.25">
      <c r="A21" s="9"/>
      <c r="B21" s="16"/>
      <c r="C21" s="11"/>
      <c r="D21" s="12"/>
      <c r="E21" s="12"/>
      <c r="F21" s="14"/>
      <c r="G21" s="15"/>
      <c r="H21" s="13"/>
      <c r="I21" s="1"/>
    </row>
    <row r="22" spans="1:9" x14ac:dyDescent="0.25">
      <c r="A22" s="9"/>
      <c r="B22" s="16"/>
      <c r="C22" s="11"/>
      <c r="D22" s="12"/>
      <c r="E22" s="12"/>
      <c r="F22" s="14"/>
      <c r="G22" s="15"/>
      <c r="H22" s="13">
        <f>+H10-H20</f>
        <v>398100.56000000006</v>
      </c>
      <c r="I22" s="1"/>
    </row>
    <row r="23" spans="1:9" x14ac:dyDescent="0.25">
      <c r="A23" s="9"/>
      <c r="B23" s="16"/>
      <c r="C23" s="11"/>
      <c r="D23" s="12"/>
      <c r="E23" s="17"/>
      <c r="F23" s="14"/>
      <c r="G23" s="11"/>
      <c r="H23" s="18"/>
      <c r="I23" s="1"/>
    </row>
    <row r="25" spans="1:9" x14ac:dyDescent="0.25">
      <c r="B25" s="10">
        <v>110580597</v>
      </c>
      <c r="C25" s="11" t="s">
        <v>28</v>
      </c>
      <c r="D25" s="12" t="s">
        <v>29</v>
      </c>
    </row>
    <row r="26" spans="1:9" x14ac:dyDescent="0.25">
      <c r="B26" s="10">
        <v>65777220</v>
      </c>
      <c r="C26" s="11" t="s">
        <v>30</v>
      </c>
      <c r="D26" s="12" t="s">
        <v>31</v>
      </c>
    </row>
    <row r="27" spans="1:9" x14ac:dyDescent="0.25">
      <c r="B27" s="10">
        <v>65737477</v>
      </c>
      <c r="C27" s="11" t="s">
        <v>18</v>
      </c>
      <c r="D27" s="12" t="s">
        <v>9</v>
      </c>
    </row>
    <row r="28" spans="1:9" x14ac:dyDescent="0.25">
      <c r="B28" s="10">
        <v>14106438</v>
      </c>
      <c r="C28" s="11" t="s">
        <v>32</v>
      </c>
      <c r="D28" s="12" t="s">
        <v>17</v>
      </c>
    </row>
    <row r="29" spans="1:9" x14ac:dyDescent="0.25">
      <c r="B29" s="10">
        <v>5939109</v>
      </c>
      <c r="C29" s="11" t="s">
        <v>33</v>
      </c>
      <c r="D29" s="12" t="s">
        <v>34</v>
      </c>
    </row>
    <row r="30" spans="1:9" x14ac:dyDescent="0.25">
      <c r="B30" s="10">
        <v>13239826</v>
      </c>
      <c r="C30" s="11" t="s">
        <v>8</v>
      </c>
      <c r="D30" s="12" t="s">
        <v>9</v>
      </c>
    </row>
    <row r="31" spans="1:9" x14ac:dyDescent="0.25">
      <c r="B31" s="10">
        <v>65762110</v>
      </c>
      <c r="C31" s="11" t="s">
        <v>16</v>
      </c>
      <c r="D31" s="12" t="s">
        <v>17</v>
      </c>
    </row>
    <row r="32" spans="1:9" x14ac:dyDescent="0.25">
      <c r="B32" s="10">
        <v>1032372158</v>
      </c>
      <c r="C32" s="11" t="s">
        <v>35</v>
      </c>
      <c r="D32" s="12" t="s">
        <v>34</v>
      </c>
    </row>
    <row r="33" spans="2:4" x14ac:dyDescent="0.25">
      <c r="B33" s="10">
        <v>1110511708</v>
      </c>
      <c r="C33" s="11" t="s">
        <v>24</v>
      </c>
      <c r="D33" s="12" t="s">
        <v>25</v>
      </c>
    </row>
    <row r="34" spans="2:4" x14ac:dyDescent="0.25">
      <c r="B34" s="10">
        <v>1110546445</v>
      </c>
      <c r="C34" s="11" t="s">
        <v>36</v>
      </c>
      <c r="D34" s="12" t="s">
        <v>37</v>
      </c>
    </row>
    <row r="35" spans="2:4" x14ac:dyDescent="0.25">
      <c r="B35" s="10">
        <v>1006123077</v>
      </c>
      <c r="C35" s="11" t="s">
        <v>38</v>
      </c>
      <c r="D35" s="12" t="s">
        <v>39</v>
      </c>
    </row>
    <row r="36" spans="2:4" x14ac:dyDescent="0.25">
      <c r="B36" s="10">
        <v>14236999</v>
      </c>
      <c r="C36" s="11" t="s">
        <v>13</v>
      </c>
      <c r="D36" s="12" t="s">
        <v>14</v>
      </c>
    </row>
    <row r="37" spans="2:4" x14ac:dyDescent="0.25">
      <c r="B37" s="10">
        <v>1234638696</v>
      </c>
      <c r="C37" s="11" t="s">
        <v>40</v>
      </c>
      <c r="D37" s="12" t="s">
        <v>41</v>
      </c>
    </row>
    <row r="38" spans="2:4" x14ac:dyDescent="0.25">
      <c r="B38" s="10">
        <v>1000775862</v>
      </c>
      <c r="C38" s="11" t="s">
        <v>42</v>
      </c>
      <c r="D38" s="12" t="s">
        <v>41</v>
      </c>
    </row>
    <row r="39" spans="2:4" x14ac:dyDescent="0.25">
      <c r="B39" s="10">
        <v>5927717</v>
      </c>
      <c r="C39" s="11" t="s">
        <v>43</v>
      </c>
      <c r="D39" s="12" t="s">
        <v>41</v>
      </c>
    </row>
    <row r="40" spans="2:4" x14ac:dyDescent="0.25">
      <c r="B40" s="10">
        <v>1110442630</v>
      </c>
      <c r="C40" s="11" t="s">
        <v>44</v>
      </c>
      <c r="D40" s="12" t="s">
        <v>41</v>
      </c>
    </row>
    <row r="41" spans="2:4" x14ac:dyDescent="0.25">
      <c r="B41" s="10">
        <v>1007832826</v>
      </c>
      <c r="C41" s="11" t="s">
        <v>45</v>
      </c>
      <c r="D41" s="12" t="s">
        <v>46</v>
      </c>
    </row>
    <row r="42" spans="2:4" x14ac:dyDescent="0.25">
      <c r="B42" s="10" t="s">
        <v>47</v>
      </c>
      <c r="C42" s="11" t="s">
        <v>48</v>
      </c>
      <c r="D42" s="12"/>
    </row>
    <row r="43" spans="2:4" x14ac:dyDescent="0.25">
      <c r="B43" s="10">
        <v>1110546445</v>
      </c>
      <c r="C43" s="11" t="s">
        <v>36</v>
      </c>
      <c r="D43" s="12" t="s">
        <v>37</v>
      </c>
    </row>
    <row r="44" spans="2:4" x14ac:dyDescent="0.25">
      <c r="B44" s="10">
        <v>1005717607</v>
      </c>
      <c r="C44" s="11" t="s">
        <v>49</v>
      </c>
      <c r="D44" s="12" t="s">
        <v>37</v>
      </c>
    </row>
    <row r="45" spans="2:4" x14ac:dyDescent="0.25">
      <c r="B45" s="10">
        <v>14243741</v>
      </c>
      <c r="C45" s="11" t="s">
        <v>50</v>
      </c>
      <c r="D45" s="12" t="s">
        <v>51</v>
      </c>
    </row>
    <row r="46" spans="2:4" x14ac:dyDescent="0.25">
      <c r="B46" s="10">
        <v>1110442630</v>
      </c>
      <c r="C46" s="11" t="s">
        <v>44</v>
      </c>
      <c r="D46" s="12" t="s">
        <v>34</v>
      </c>
    </row>
    <row r="47" spans="2:4" x14ac:dyDescent="0.25">
      <c r="B47" s="10" t="s">
        <v>52</v>
      </c>
      <c r="C47" s="11" t="s">
        <v>53</v>
      </c>
      <c r="D47" s="12"/>
    </row>
    <row r="48" spans="2:4" x14ac:dyDescent="0.25">
      <c r="B48" s="10">
        <v>800251569</v>
      </c>
      <c r="C48" s="11" t="s">
        <v>54</v>
      </c>
      <c r="D48" s="12"/>
    </row>
    <row r="49" spans="2:4" x14ac:dyDescent="0.25">
      <c r="B49" s="10">
        <v>1006122533</v>
      </c>
      <c r="C49" s="11" t="s">
        <v>55</v>
      </c>
      <c r="D49" s="12" t="s">
        <v>56</v>
      </c>
    </row>
    <row r="50" spans="2:4" x14ac:dyDescent="0.25">
      <c r="B50" s="10">
        <v>111046289</v>
      </c>
      <c r="C50" s="11" t="s">
        <v>185</v>
      </c>
      <c r="D50" s="12" t="s">
        <v>34</v>
      </c>
    </row>
    <row r="51" spans="2:4" x14ac:dyDescent="0.25">
      <c r="B51" s="10">
        <v>28542010</v>
      </c>
      <c r="C51" s="11" t="s">
        <v>187</v>
      </c>
      <c r="D51" s="12" t="s">
        <v>188</v>
      </c>
    </row>
    <row r="52" spans="2:4" x14ac:dyDescent="0.25">
      <c r="B52" s="10">
        <v>93389805</v>
      </c>
      <c r="C52" s="11" t="s">
        <v>241</v>
      </c>
      <c r="D52" s="12" t="s">
        <v>34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5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593" r:id="rId4" name="Button 1">
              <controlPr defaultSize="0" print="0" autoFill="0" autoPict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A897-6BF6-45CC-A676-0B938D1877C1}">
  <sheetPr>
    <pageSetUpPr fitToPage="1"/>
  </sheetPr>
  <dimension ref="A1:I56"/>
  <sheetViews>
    <sheetView topLeftCell="D7" workbookViewId="0">
      <selection activeCell="F31" sqref="F31"/>
    </sheetView>
  </sheetViews>
  <sheetFormatPr baseColWidth="10" defaultColWidth="9.140625" defaultRowHeight="15" x14ac:dyDescent="0.25"/>
  <cols>
    <col min="1" max="1" width="12" bestFit="1" customWidth="1"/>
    <col min="2" max="2" width="18" bestFit="1" customWidth="1"/>
    <col min="3" max="3" width="26.42578125" bestFit="1" customWidth="1"/>
    <col min="4" max="4" width="28.140625" bestFit="1" customWidth="1"/>
    <col min="5" max="5" width="55.28515625" bestFit="1" customWidth="1"/>
    <col min="6" max="6" width="15" bestFit="1" customWidth="1"/>
    <col min="7" max="7" width="53.28515625" bestFit="1" customWidth="1"/>
    <col min="8" max="8" width="18.42578125" bestFit="1" customWidth="1"/>
  </cols>
  <sheetData>
    <row r="1" spans="1:9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x14ac:dyDescent="0.25">
      <c r="A10" s="2"/>
      <c r="B10" s="3"/>
      <c r="C10" s="4"/>
      <c r="D10" s="5"/>
      <c r="E10" s="5"/>
      <c r="F10" s="6"/>
      <c r="G10" s="7"/>
      <c r="H10" s="8">
        <f>'MAYO 22 2026'!H22</f>
        <v>398100.56000000006</v>
      </c>
      <c r="I10" s="1"/>
    </row>
    <row r="11" spans="1:9" ht="15.75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x14ac:dyDescent="0.25">
      <c r="A12" s="9">
        <v>46165</v>
      </c>
      <c r="B12" s="10">
        <v>65737477</v>
      </c>
      <c r="C12" s="11" t="s">
        <v>18</v>
      </c>
      <c r="D12" s="12" t="s">
        <v>9</v>
      </c>
      <c r="E12" s="12" t="s">
        <v>266</v>
      </c>
      <c r="F12" s="10" t="s">
        <v>267</v>
      </c>
      <c r="G12" s="11" t="s">
        <v>268</v>
      </c>
      <c r="H12" s="13">
        <v>11264</v>
      </c>
      <c r="I12" s="1"/>
    </row>
    <row r="13" spans="1:9" x14ac:dyDescent="0.25">
      <c r="A13" s="9">
        <v>46165</v>
      </c>
      <c r="B13" s="10">
        <v>1110511708</v>
      </c>
      <c r="C13" s="11" t="s">
        <v>24</v>
      </c>
      <c r="D13" s="12" t="s">
        <v>25</v>
      </c>
      <c r="E13" s="12" t="s">
        <v>281</v>
      </c>
      <c r="F13" s="10">
        <v>1110511708</v>
      </c>
      <c r="G13" s="11" t="s">
        <v>24</v>
      </c>
      <c r="H13" s="13">
        <v>4000</v>
      </c>
      <c r="I13" s="1"/>
    </row>
    <row r="14" spans="1:9" x14ac:dyDescent="0.25">
      <c r="A14" s="9">
        <v>46165</v>
      </c>
      <c r="B14" s="10">
        <v>65777220</v>
      </c>
      <c r="C14" s="11" t="s">
        <v>30</v>
      </c>
      <c r="D14" s="12" t="s">
        <v>31</v>
      </c>
      <c r="E14" s="12" t="s">
        <v>269</v>
      </c>
      <c r="F14" s="10">
        <v>65777220</v>
      </c>
      <c r="G14" s="11" t="s">
        <v>30</v>
      </c>
      <c r="H14" s="13">
        <v>14000</v>
      </c>
      <c r="I14" s="1"/>
    </row>
    <row r="15" spans="1:9" x14ac:dyDescent="0.25">
      <c r="A15" s="9">
        <v>46165</v>
      </c>
      <c r="B15" s="10">
        <v>65777220</v>
      </c>
      <c r="C15" s="11" t="s">
        <v>30</v>
      </c>
      <c r="D15" s="12" t="s">
        <v>31</v>
      </c>
      <c r="E15" s="12" t="s">
        <v>270</v>
      </c>
      <c r="F15" s="10">
        <v>65777220</v>
      </c>
      <c r="G15" s="11" t="s">
        <v>30</v>
      </c>
      <c r="H15" s="13">
        <v>30000</v>
      </c>
      <c r="I15" s="1"/>
    </row>
    <row r="16" spans="1:9" x14ac:dyDescent="0.25">
      <c r="A16" s="9">
        <v>46165</v>
      </c>
      <c r="B16" s="10">
        <v>65762110</v>
      </c>
      <c r="C16" s="11" t="s">
        <v>16</v>
      </c>
      <c r="D16" s="12" t="s">
        <v>17</v>
      </c>
      <c r="E16" s="12" t="s">
        <v>271</v>
      </c>
      <c r="F16" s="10">
        <v>65762110</v>
      </c>
      <c r="G16" s="11" t="s">
        <v>16</v>
      </c>
      <c r="H16" s="13">
        <v>14000</v>
      </c>
      <c r="I16" s="1"/>
    </row>
    <row r="17" spans="1:9" x14ac:dyDescent="0.25">
      <c r="A17" s="9">
        <v>46165</v>
      </c>
      <c r="B17" s="10">
        <v>5939109</v>
      </c>
      <c r="C17" s="11" t="s">
        <v>33</v>
      </c>
      <c r="D17" s="12" t="s">
        <v>34</v>
      </c>
      <c r="E17" s="12" t="s">
        <v>272</v>
      </c>
      <c r="F17" s="10">
        <v>5939109</v>
      </c>
      <c r="G17" s="11" t="s">
        <v>33</v>
      </c>
      <c r="H17" s="13">
        <v>8000</v>
      </c>
      <c r="I17" s="1"/>
    </row>
    <row r="18" spans="1:9" x14ac:dyDescent="0.25">
      <c r="A18" s="9">
        <v>46165</v>
      </c>
      <c r="B18" s="10">
        <v>65737477</v>
      </c>
      <c r="C18" s="11" t="s">
        <v>18</v>
      </c>
      <c r="D18" s="12" t="s">
        <v>9</v>
      </c>
      <c r="E18" s="12" t="s">
        <v>273</v>
      </c>
      <c r="F18" s="10">
        <v>93391994</v>
      </c>
      <c r="G18" s="11" t="s">
        <v>275</v>
      </c>
      <c r="H18" s="13">
        <v>28000</v>
      </c>
      <c r="I18" s="1"/>
    </row>
    <row r="19" spans="1:9" x14ac:dyDescent="0.25">
      <c r="A19" s="9">
        <v>46165</v>
      </c>
      <c r="B19" s="10">
        <v>65737477</v>
      </c>
      <c r="C19" s="11" t="s">
        <v>18</v>
      </c>
      <c r="D19" s="12" t="s">
        <v>9</v>
      </c>
      <c r="E19" s="12" t="s">
        <v>274</v>
      </c>
      <c r="F19" s="10" t="s">
        <v>276</v>
      </c>
      <c r="G19" s="11" t="s">
        <v>277</v>
      </c>
      <c r="H19" s="13">
        <v>5000</v>
      </c>
      <c r="I19" s="1"/>
    </row>
    <row r="20" spans="1:9" x14ac:dyDescent="0.25">
      <c r="A20" s="9">
        <v>46165</v>
      </c>
      <c r="B20" s="10">
        <v>111046289</v>
      </c>
      <c r="C20" s="11" t="s">
        <v>185</v>
      </c>
      <c r="D20" s="12" t="s">
        <v>34</v>
      </c>
      <c r="E20" s="12" t="s">
        <v>280</v>
      </c>
      <c r="F20" s="10" t="s">
        <v>278</v>
      </c>
      <c r="G20" s="11" t="s">
        <v>279</v>
      </c>
      <c r="H20" s="13">
        <v>25000</v>
      </c>
      <c r="I20" s="1"/>
    </row>
    <row r="21" spans="1:9" x14ac:dyDescent="0.25">
      <c r="A21" s="9">
        <v>46165</v>
      </c>
      <c r="B21" s="10">
        <v>65777220</v>
      </c>
      <c r="C21" s="11" t="s">
        <v>30</v>
      </c>
      <c r="D21" s="12" t="s">
        <v>31</v>
      </c>
      <c r="E21" s="12" t="s">
        <v>282</v>
      </c>
      <c r="F21" s="10">
        <v>901768321</v>
      </c>
      <c r="G21" s="11" t="s">
        <v>21</v>
      </c>
      <c r="H21" s="13">
        <v>25860</v>
      </c>
      <c r="I21" s="1"/>
    </row>
    <row r="22" spans="1:9" x14ac:dyDescent="0.25">
      <c r="A22" s="9"/>
      <c r="B22" s="10"/>
      <c r="C22" s="11"/>
      <c r="D22" s="12"/>
      <c r="E22" s="12"/>
      <c r="F22" s="10"/>
      <c r="G22" s="11"/>
      <c r="H22" s="13"/>
      <c r="I22" s="1"/>
    </row>
    <row r="23" spans="1:9" x14ac:dyDescent="0.25">
      <c r="A23" s="9"/>
      <c r="B23" s="10"/>
      <c r="C23" s="11"/>
      <c r="D23" s="12"/>
      <c r="E23" s="12"/>
      <c r="F23" s="14"/>
      <c r="G23" s="15"/>
      <c r="H23" s="13">
        <f>SUM(H12:H22)</f>
        <v>165124</v>
      </c>
      <c r="I23" s="1"/>
    </row>
    <row r="24" spans="1:9" x14ac:dyDescent="0.25">
      <c r="A24" s="9"/>
      <c r="B24" s="16"/>
      <c r="C24" s="11"/>
      <c r="D24" s="12"/>
      <c r="E24" s="12"/>
      <c r="F24" s="14"/>
      <c r="G24" s="15"/>
      <c r="H24" s="13"/>
      <c r="I24" s="1"/>
    </row>
    <row r="25" spans="1:9" x14ac:dyDescent="0.25">
      <c r="A25" s="9"/>
      <c r="B25" s="16"/>
      <c r="C25" s="11"/>
      <c r="D25" s="12"/>
      <c r="E25" s="12"/>
      <c r="F25" s="14"/>
      <c r="G25" s="15"/>
      <c r="H25" s="13">
        <f>+H10-H23</f>
        <v>232976.56000000006</v>
      </c>
      <c r="I25" s="1"/>
    </row>
    <row r="26" spans="1:9" x14ac:dyDescent="0.25">
      <c r="A26" s="9"/>
      <c r="B26" s="16"/>
      <c r="C26" s="11"/>
      <c r="D26" s="12"/>
      <c r="E26" s="17"/>
      <c r="F26" s="14"/>
      <c r="G26" s="11"/>
      <c r="H26" s="18"/>
      <c r="I26" s="1"/>
    </row>
    <row r="28" spans="1:9" x14ac:dyDescent="0.25">
      <c r="B28" s="10">
        <v>110580597</v>
      </c>
      <c r="C28" s="11" t="s">
        <v>28</v>
      </c>
      <c r="D28" s="12" t="s">
        <v>29</v>
      </c>
    </row>
    <row r="29" spans="1:9" x14ac:dyDescent="0.25">
      <c r="B29" s="10">
        <v>65777220</v>
      </c>
      <c r="C29" s="11" t="s">
        <v>30</v>
      </c>
      <c r="D29" s="12" t="s">
        <v>31</v>
      </c>
    </row>
    <row r="30" spans="1:9" x14ac:dyDescent="0.25">
      <c r="B30" s="10">
        <v>65737477</v>
      </c>
      <c r="C30" s="11" t="s">
        <v>18</v>
      </c>
      <c r="D30" s="12" t="s">
        <v>9</v>
      </c>
    </row>
    <row r="31" spans="1:9" x14ac:dyDescent="0.25">
      <c r="B31" s="10">
        <v>14106438</v>
      </c>
      <c r="C31" s="11" t="s">
        <v>32</v>
      </c>
      <c r="D31" s="12" t="s">
        <v>17</v>
      </c>
    </row>
    <row r="32" spans="1:9" x14ac:dyDescent="0.25">
      <c r="B32" s="10">
        <v>5939109</v>
      </c>
      <c r="C32" s="11" t="s">
        <v>33</v>
      </c>
      <c r="D32" s="12" t="s">
        <v>34</v>
      </c>
    </row>
    <row r="33" spans="2:4" x14ac:dyDescent="0.25">
      <c r="B33" s="10">
        <v>13239826</v>
      </c>
      <c r="C33" s="11" t="s">
        <v>8</v>
      </c>
      <c r="D33" s="12" t="s">
        <v>9</v>
      </c>
    </row>
    <row r="34" spans="2:4" x14ac:dyDescent="0.25">
      <c r="B34" s="10">
        <v>65762110</v>
      </c>
      <c r="C34" s="11" t="s">
        <v>16</v>
      </c>
      <c r="D34" s="12" t="s">
        <v>17</v>
      </c>
    </row>
    <row r="35" spans="2:4" x14ac:dyDescent="0.25">
      <c r="B35" s="10">
        <v>1032372158</v>
      </c>
      <c r="C35" s="11" t="s">
        <v>35</v>
      </c>
      <c r="D35" s="12" t="s">
        <v>34</v>
      </c>
    </row>
    <row r="36" spans="2:4" x14ac:dyDescent="0.25">
      <c r="B36" s="10">
        <v>1110511708</v>
      </c>
      <c r="C36" s="11" t="s">
        <v>24</v>
      </c>
      <c r="D36" s="12" t="s">
        <v>25</v>
      </c>
    </row>
    <row r="37" spans="2:4" x14ac:dyDescent="0.25">
      <c r="B37" s="10">
        <v>1110546445</v>
      </c>
      <c r="C37" s="11" t="s">
        <v>36</v>
      </c>
      <c r="D37" s="12" t="s">
        <v>37</v>
      </c>
    </row>
    <row r="38" spans="2:4" x14ac:dyDescent="0.25">
      <c r="B38" s="10">
        <v>1006123077</v>
      </c>
      <c r="C38" s="11" t="s">
        <v>38</v>
      </c>
      <c r="D38" s="12" t="s">
        <v>39</v>
      </c>
    </row>
    <row r="39" spans="2:4" x14ac:dyDescent="0.25">
      <c r="B39" s="10">
        <v>14236999</v>
      </c>
      <c r="C39" s="11" t="s">
        <v>13</v>
      </c>
      <c r="D39" s="12" t="s">
        <v>14</v>
      </c>
    </row>
    <row r="40" spans="2:4" x14ac:dyDescent="0.25">
      <c r="B40" s="10">
        <v>1234638696</v>
      </c>
      <c r="C40" s="11" t="s">
        <v>40</v>
      </c>
      <c r="D40" s="12" t="s">
        <v>41</v>
      </c>
    </row>
    <row r="41" spans="2:4" x14ac:dyDescent="0.25">
      <c r="B41" s="10">
        <v>1000775862</v>
      </c>
      <c r="C41" s="11" t="s">
        <v>42</v>
      </c>
      <c r="D41" s="12" t="s">
        <v>41</v>
      </c>
    </row>
    <row r="42" spans="2:4" x14ac:dyDescent="0.25">
      <c r="B42" s="10">
        <v>5927717</v>
      </c>
      <c r="C42" s="11" t="s">
        <v>43</v>
      </c>
      <c r="D42" s="12" t="s">
        <v>41</v>
      </c>
    </row>
    <row r="43" spans="2:4" x14ac:dyDescent="0.25">
      <c r="B43" s="10">
        <v>1110442630</v>
      </c>
      <c r="C43" s="11" t="s">
        <v>44</v>
      </c>
      <c r="D43" s="12" t="s">
        <v>41</v>
      </c>
    </row>
    <row r="44" spans="2:4" x14ac:dyDescent="0.25">
      <c r="B44" s="10">
        <v>1007832826</v>
      </c>
      <c r="C44" s="11" t="s">
        <v>45</v>
      </c>
      <c r="D44" s="12" t="s">
        <v>46</v>
      </c>
    </row>
    <row r="45" spans="2:4" x14ac:dyDescent="0.25">
      <c r="B45" s="10" t="s">
        <v>47</v>
      </c>
      <c r="C45" s="11" t="s">
        <v>48</v>
      </c>
      <c r="D45" s="12"/>
    </row>
    <row r="46" spans="2:4" x14ac:dyDescent="0.25">
      <c r="B46" s="10">
        <v>1110546445</v>
      </c>
      <c r="C46" s="11" t="s">
        <v>36</v>
      </c>
      <c r="D46" s="12" t="s">
        <v>37</v>
      </c>
    </row>
    <row r="47" spans="2:4" x14ac:dyDescent="0.25">
      <c r="B47" s="10">
        <v>1005717607</v>
      </c>
      <c r="C47" s="11" t="s">
        <v>49</v>
      </c>
      <c r="D47" s="12" t="s">
        <v>37</v>
      </c>
    </row>
    <row r="48" spans="2:4" x14ac:dyDescent="0.25">
      <c r="B48" s="10">
        <v>14243741</v>
      </c>
      <c r="C48" s="11" t="s">
        <v>50</v>
      </c>
      <c r="D48" s="12" t="s">
        <v>51</v>
      </c>
    </row>
    <row r="49" spans="2:4" x14ac:dyDescent="0.25">
      <c r="B49" s="10">
        <v>1110442630</v>
      </c>
      <c r="C49" s="11" t="s">
        <v>44</v>
      </c>
      <c r="D49" s="12" t="s">
        <v>34</v>
      </c>
    </row>
    <row r="50" spans="2:4" x14ac:dyDescent="0.25">
      <c r="B50" s="10" t="s">
        <v>52</v>
      </c>
      <c r="C50" s="11" t="s">
        <v>53</v>
      </c>
      <c r="D50" s="12"/>
    </row>
    <row r="51" spans="2:4" x14ac:dyDescent="0.25">
      <c r="B51" s="10">
        <v>800251569</v>
      </c>
      <c r="C51" s="11" t="s">
        <v>54</v>
      </c>
      <c r="D51" s="12"/>
    </row>
    <row r="52" spans="2:4" x14ac:dyDescent="0.25">
      <c r="B52" s="10">
        <v>1006122533</v>
      </c>
      <c r="C52" s="11" t="s">
        <v>55</v>
      </c>
      <c r="D52" s="12" t="s">
        <v>56</v>
      </c>
    </row>
    <row r="53" spans="2:4" x14ac:dyDescent="0.25">
      <c r="B53" s="10">
        <v>111046289</v>
      </c>
      <c r="C53" s="11" t="s">
        <v>185</v>
      </c>
      <c r="D53" s="12" t="s">
        <v>34</v>
      </c>
    </row>
    <row r="54" spans="2:4" x14ac:dyDescent="0.25">
      <c r="B54" s="10">
        <v>28542010</v>
      </c>
      <c r="C54" s="11" t="s">
        <v>187</v>
      </c>
      <c r="D54" s="12" t="s">
        <v>188</v>
      </c>
    </row>
    <row r="55" spans="2:4" x14ac:dyDescent="0.25">
      <c r="B55" s="10">
        <v>93389805</v>
      </c>
      <c r="C55" s="11" t="s">
        <v>241</v>
      </c>
      <c r="D55" s="12" t="s">
        <v>34</v>
      </c>
    </row>
    <row r="56" spans="2:4" x14ac:dyDescent="0.25">
      <c r="B56" s="10">
        <v>111046289</v>
      </c>
      <c r="C56" s="11" t="s">
        <v>185</v>
      </c>
      <c r="D56" s="12" t="s">
        <v>34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8001" r:id="rId4" name="Button 1">
              <controlPr defaultSize="0" print="0" autoFill="0" autoPict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6701-2CFD-46ED-91AB-93B4B7B34F0D}">
  <sheetPr>
    <pageSetUpPr fitToPage="1"/>
  </sheetPr>
  <dimension ref="A1:I53"/>
  <sheetViews>
    <sheetView tabSelected="1" zoomScale="85" zoomScaleNormal="85" workbookViewId="0">
      <selection activeCell="H10" sqref="H10"/>
    </sheetView>
  </sheetViews>
  <sheetFormatPr baseColWidth="10" defaultColWidth="9.140625" defaultRowHeight="15" x14ac:dyDescent="0.25"/>
  <cols>
    <col min="1" max="1" width="12.28515625" bestFit="1" customWidth="1"/>
    <col min="2" max="2" width="18.42578125" bestFit="1" customWidth="1"/>
    <col min="3" max="3" width="27" bestFit="1" customWidth="1"/>
    <col min="4" max="4" width="28.7109375" bestFit="1" customWidth="1"/>
    <col min="5" max="5" width="62.7109375" bestFit="1" customWidth="1"/>
    <col min="6" max="6" width="17" bestFit="1" customWidth="1"/>
    <col min="7" max="7" width="57.85546875" bestFit="1" customWidth="1"/>
    <col min="8" max="8" width="19.28515625" bestFit="1" customWidth="1"/>
  </cols>
  <sheetData>
    <row r="1" spans="1:9" x14ac:dyDescent="0.25">
      <c r="A1" s="21" t="s">
        <v>81</v>
      </c>
      <c r="B1" s="22"/>
      <c r="C1" s="23"/>
      <c r="D1" s="30" t="s">
        <v>0</v>
      </c>
      <c r="E1" s="31"/>
      <c r="F1" s="31"/>
      <c r="G1" s="31"/>
      <c r="H1" s="31"/>
      <c r="I1" s="32"/>
    </row>
    <row r="2" spans="1:9" x14ac:dyDescent="0.25">
      <c r="A2" s="24"/>
      <c r="B2" s="25"/>
      <c r="C2" s="26"/>
      <c r="D2" s="33"/>
      <c r="E2" s="34"/>
      <c r="F2" s="34"/>
      <c r="G2" s="34"/>
      <c r="H2" s="34"/>
      <c r="I2" s="35"/>
    </row>
    <row r="3" spans="1:9" x14ac:dyDescent="0.25">
      <c r="A3" s="24"/>
      <c r="B3" s="25"/>
      <c r="C3" s="26"/>
      <c r="D3" s="33"/>
      <c r="E3" s="34"/>
      <c r="F3" s="34"/>
      <c r="G3" s="34"/>
      <c r="H3" s="34"/>
      <c r="I3" s="35"/>
    </row>
    <row r="4" spans="1:9" x14ac:dyDescent="0.25">
      <c r="A4" s="27"/>
      <c r="B4" s="28"/>
      <c r="C4" s="29"/>
      <c r="D4" s="36"/>
      <c r="E4" s="37"/>
      <c r="F4" s="37"/>
      <c r="G4" s="37"/>
      <c r="H4" s="37"/>
      <c r="I4" s="38"/>
    </row>
    <row r="5" spans="1:9" x14ac:dyDescent="0.25">
      <c r="A5" s="39"/>
      <c r="B5" s="40"/>
      <c r="C5" s="40"/>
      <c r="D5" s="40"/>
      <c r="E5" s="40"/>
      <c r="F5" s="40"/>
      <c r="G5" s="40"/>
      <c r="H5" s="40"/>
      <c r="I5" s="41"/>
    </row>
    <row r="6" spans="1:9" x14ac:dyDescent="0.25">
      <c r="A6" s="42"/>
      <c r="B6" s="43"/>
      <c r="C6" s="43"/>
      <c r="D6" s="43"/>
      <c r="E6" s="43"/>
      <c r="F6" s="43"/>
      <c r="G6" s="43"/>
      <c r="H6" s="43"/>
      <c r="I6" s="44"/>
    </row>
    <row r="7" spans="1:9" x14ac:dyDescent="0.25">
      <c r="A7" s="45" t="s">
        <v>1</v>
      </c>
      <c r="B7" s="47" t="s">
        <v>2</v>
      </c>
      <c r="C7" s="19" t="s">
        <v>3</v>
      </c>
      <c r="D7" s="47" t="s">
        <v>4</v>
      </c>
      <c r="E7" s="47" t="s">
        <v>5</v>
      </c>
      <c r="F7" s="47" t="s">
        <v>6</v>
      </c>
      <c r="G7" s="19" t="s">
        <v>7</v>
      </c>
      <c r="H7" s="19"/>
      <c r="I7" s="1"/>
    </row>
    <row r="8" spans="1:9" x14ac:dyDescent="0.25">
      <c r="A8" s="46"/>
      <c r="B8" s="48"/>
      <c r="C8" s="20"/>
      <c r="D8" s="48"/>
      <c r="E8" s="48"/>
      <c r="F8" s="48"/>
      <c r="G8" s="20"/>
      <c r="H8" s="20"/>
      <c r="I8" s="1"/>
    </row>
    <row r="9" spans="1:9" x14ac:dyDescent="0.25">
      <c r="A9" s="2"/>
      <c r="B9" s="3"/>
      <c r="C9" s="2"/>
      <c r="D9" s="3"/>
      <c r="E9" s="2"/>
      <c r="F9" s="3"/>
      <c r="G9" s="2"/>
      <c r="H9" s="3"/>
      <c r="I9" s="1"/>
    </row>
    <row r="10" spans="1:9" ht="15.75" x14ac:dyDescent="0.25">
      <c r="A10" s="2"/>
      <c r="B10" s="3"/>
      <c r="C10" s="4"/>
      <c r="D10" s="5"/>
      <c r="E10" s="5"/>
      <c r="F10" s="6"/>
      <c r="G10" s="7"/>
      <c r="H10" s="8">
        <f>'MAYO 23 2026'!H25</f>
        <v>232976.56000000006</v>
      </c>
      <c r="I10" s="1"/>
    </row>
    <row r="11" spans="1:9" ht="15.75" x14ac:dyDescent="0.25">
      <c r="A11" s="7"/>
      <c r="B11" s="7"/>
      <c r="C11" s="7"/>
      <c r="D11" s="7"/>
      <c r="E11" s="7"/>
      <c r="F11" s="7"/>
      <c r="G11" s="7"/>
      <c r="H11" s="8"/>
      <c r="I11" s="1"/>
    </row>
    <row r="12" spans="1:9" x14ac:dyDescent="0.25">
      <c r="A12" s="9">
        <v>46167</v>
      </c>
      <c r="B12" s="10">
        <v>1006123077</v>
      </c>
      <c r="C12" s="11" t="s">
        <v>38</v>
      </c>
      <c r="D12" s="12" t="s">
        <v>39</v>
      </c>
      <c r="E12" s="12" t="s">
        <v>283</v>
      </c>
      <c r="F12" s="10" t="s">
        <v>284</v>
      </c>
      <c r="G12" s="11" t="s">
        <v>285</v>
      </c>
      <c r="H12" s="13">
        <v>17000</v>
      </c>
      <c r="I12" s="1"/>
    </row>
    <row r="13" spans="1:9" x14ac:dyDescent="0.25">
      <c r="A13" s="9">
        <v>46167</v>
      </c>
      <c r="B13" s="10">
        <v>65777220</v>
      </c>
      <c r="C13" s="11" t="s">
        <v>30</v>
      </c>
      <c r="D13" s="12" t="s">
        <v>31</v>
      </c>
      <c r="E13" s="12" t="s">
        <v>286</v>
      </c>
      <c r="F13" s="10" t="s">
        <v>287</v>
      </c>
      <c r="G13" s="11" t="s">
        <v>288</v>
      </c>
      <c r="H13" s="13">
        <v>12000</v>
      </c>
      <c r="I13" s="1"/>
    </row>
    <row r="14" spans="1:9" x14ac:dyDescent="0.25">
      <c r="A14" s="9">
        <v>46167</v>
      </c>
      <c r="B14" s="10">
        <v>65777220</v>
      </c>
      <c r="C14" s="11" t="s">
        <v>30</v>
      </c>
      <c r="D14" s="12" t="s">
        <v>31</v>
      </c>
      <c r="E14" s="12" t="s">
        <v>289</v>
      </c>
      <c r="F14" s="10" t="s">
        <v>290</v>
      </c>
      <c r="G14" s="11" t="s">
        <v>291</v>
      </c>
      <c r="H14" s="13">
        <v>48000</v>
      </c>
      <c r="I14" s="1"/>
    </row>
    <row r="15" spans="1:9" x14ac:dyDescent="0.25">
      <c r="A15" s="9">
        <v>46167</v>
      </c>
      <c r="B15" s="10">
        <v>65777220</v>
      </c>
      <c r="C15" s="11" t="s">
        <v>30</v>
      </c>
      <c r="D15" s="12" t="s">
        <v>31</v>
      </c>
      <c r="E15" s="12" t="s">
        <v>292</v>
      </c>
      <c r="F15" s="10" t="s">
        <v>294</v>
      </c>
      <c r="G15" s="11" t="s">
        <v>293</v>
      </c>
      <c r="H15" s="13">
        <v>15120</v>
      </c>
      <c r="I15" s="1"/>
    </row>
    <row r="16" spans="1:9" x14ac:dyDescent="0.25">
      <c r="A16" s="9">
        <v>46167</v>
      </c>
      <c r="B16" s="10">
        <v>65777220</v>
      </c>
      <c r="C16" s="11" t="s">
        <v>30</v>
      </c>
      <c r="D16" s="12" t="s">
        <v>31</v>
      </c>
      <c r="E16" s="12" t="s">
        <v>301</v>
      </c>
      <c r="F16" s="10" t="s">
        <v>295</v>
      </c>
      <c r="G16" s="11" t="s">
        <v>296</v>
      </c>
      <c r="H16" s="13">
        <v>28700</v>
      </c>
      <c r="I16" s="1"/>
    </row>
    <row r="17" spans="1:9" x14ac:dyDescent="0.25">
      <c r="A17" s="9">
        <v>46167</v>
      </c>
      <c r="B17" s="10">
        <v>65777220</v>
      </c>
      <c r="C17" s="11" t="s">
        <v>30</v>
      </c>
      <c r="D17" s="12" t="s">
        <v>31</v>
      </c>
      <c r="E17" s="12" t="s">
        <v>297</v>
      </c>
      <c r="F17" s="10">
        <v>65777220</v>
      </c>
      <c r="G17" s="11" t="s">
        <v>30</v>
      </c>
      <c r="H17" s="13">
        <v>10000</v>
      </c>
      <c r="I17" s="1"/>
    </row>
    <row r="18" spans="1:9" x14ac:dyDescent="0.25">
      <c r="A18" s="9">
        <v>46167</v>
      </c>
      <c r="B18" s="10">
        <v>65737477</v>
      </c>
      <c r="C18" s="11" t="s">
        <v>18</v>
      </c>
      <c r="D18" s="12" t="s">
        <v>9</v>
      </c>
      <c r="E18" s="12" t="s">
        <v>298</v>
      </c>
      <c r="F18" s="10" t="s">
        <v>299</v>
      </c>
      <c r="G18" s="11" t="s">
        <v>300</v>
      </c>
      <c r="H18" s="13">
        <v>35000</v>
      </c>
      <c r="I18" s="1"/>
    </row>
    <row r="19" spans="1:9" x14ac:dyDescent="0.25">
      <c r="A19" s="9"/>
      <c r="B19" s="10"/>
      <c r="C19" s="11"/>
      <c r="D19" s="12"/>
      <c r="E19" s="12"/>
      <c r="F19" s="10"/>
      <c r="G19" s="11"/>
      <c r="H19" s="13"/>
      <c r="I19" s="1"/>
    </row>
    <row r="20" spans="1:9" x14ac:dyDescent="0.25">
      <c r="A20" s="9"/>
      <c r="B20" s="10"/>
      <c r="C20" s="11"/>
      <c r="D20" s="12"/>
      <c r="E20" s="12"/>
      <c r="F20" s="14"/>
      <c r="G20" s="15"/>
      <c r="H20" s="13">
        <f>SUM(H12:H19)</f>
        <v>165820</v>
      </c>
      <c r="I20" s="1"/>
    </row>
    <row r="21" spans="1:9" x14ac:dyDescent="0.25">
      <c r="A21" s="9"/>
      <c r="B21" s="16"/>
      <c r="C21" s="11"/>
      <c r="D21" s="12"/>
      <c r="E21" s="12"/>
      <c r="F21" s="14"/>
      <c r="G21" s="15"/>
      <c r="H21" s="13"/>
      <c r="I21" s="1"/>
    </row>
    <row r="22" spans="1:9" x14ac:dyDescent="0.25">
      <c r="A22" s="9"/>
      <c r="B22" s="16"/>
      <c r="C22" s="11"/>
      <c r="D22" s="12"/>
      <c r="E22" s="12"/>
      <c r="F22" s="14"/>
      <c r="G22" s="15"/>
      <c r="H22" s="13">
        <f>+H10-H20</f>
        <v>67156.560000000056</v>
      </c>
      <c r="I22" s="1"/>
    </row>
    <row r="23" spans="1:9" x14ac:dyDescent="0.25">
      <c r="A23" s="9"/>
      <c r="B23" s="16"/>
      <c r="C23" s="11"/>
      <c r="D23" s="12"/>
      <c r="E23" s="17"/>
      <c r="F23" s="14"/>
      <c r="G23" s="11"/>
      <c r="H23" s="18"/>
      <c r="I23" s="1"/>
    </row>
    <row r="25" spans="1:9" x14ac:dyDescent="0.25">
      <c r="B25" s="10">
        <v>110580597</v>
      </c>
      <c r="C25" s="11" t="s">
        <v>28</v>
      </c>
      <c r="D25" s="12" t="s">
        <v>29</v>
      </c>
    </row>
    <row r="26" spans="1:9" x14ac:dyDescent="0.25">
      <c r="B26" s="10">
        <v>65777220</v>
      </c>
      <c r="C26" s="11" t="s">
        <v>30</v>
      </c>
      <c r="D26" s="12" t="s">
        <v>31</v>
      </c>
    </row>
    <row r="27" spans="1:9" x14ac:dyDescent="0.25">
      <c r="B27" s="10">
        <v>65737477</v>
      </c>
      <c r="C27" s="11" t="s">
        <v>18</v>
      </c>
      <c r="D27" s="12" t="s">
        <v>9</v>
      </c>
    </row>
    <row r="28" spans="1:9" x14ac:dyDescent="0.25">
      <c r="B28" s="10">
        <v>14106438</v>
      </c>
      <c r="C28" s="11" t="s">
        <v>32</v>
      </c>
      <c r="D28" s="12" t="s">
        <v>17</v>
      </c>
    </row>
    <row r="29" spans="1:9" x14ac:dyDescent="0.25">
      <c r="B29" s="10">
        <v>5939109</v>
      </c>
      <c r="C29" s="11" t="s">
        <v>33</v>
      </c>
      <c r="D29" s="12" t="s">
        <v>34</v>
      </c>
    </row>
    <row r="30" spans="1:9" x14ac:dyDescent="0.25">
      <c r="B30" s="10">
        <v>13239826</v>
      </c>
      <c r="C30" s="11" t="s">
        <v>8</v>
      </c>
      <c r="D30" s="12" t="s">
        <v>9</v>
      </c>
    </row>
    <row r="31" spans="1:9" x14ac:dyDescent="0.25">
      <c r="B31" s="10">
        <v>65762110</v>
      </c>
      <c r="C31" s="11" t="s">
        <v>16</v>
      </c>
      <c r="D31" s="12" t="s">
        <v>17</v>
      </c>
    </row>
    <row r="32" spans="1:9" x14ac:dyDescent="0.25">
      <c r="B32" s="10">
        <v>1032372158</v>
      </c>
      <c r="C32" s="11" t="s">
        <v>35</v>
      </c>
      <c r="D32" s="12" t="s">
        <v>34</v>
      </c>
    </row>
    <row r="33" spans="2:4" x14ac:dyDescent="0.25">
      <c r="B33" s="10">
        <v>1110511708</v>
      </c>
      <c r="C33" s="11" t="s">
        <v>24</v>
      </c>
      <c r="D33" s="12" t="s">
        <v>25</v>
      </c>
    </row>
    <row r="34" spans="2:4" x14ac:dyDescent="0.25">
      <c r="B34" s="10">
        <v>1110546445</v>
      </c>
      <c r="C34" s="11" t="s">
        <v>36</v>
      </c>
      <c r="D34" s="12" t="s">
        <v>37</v>
      </c>
    </row>
    <row r="35" spans="2:4" x14ac:dyDescent="0.25">
      <c r="B35" s="10">
        <v>1006123077</v>
      </c>
      <c r="C35" s="11" t="s">
        <v>38</v>
      </c>
      <c r="D35" s="12" t="s">
        <v>39</v>
      </c>
    </row>
    <row r="36" spans="2:4" x14ac:dyDescent="0.25">
      <c r="B36" s="10">
        <v>14236999</v>
      </c>
      <c r="C36" s="11" t="s">
        <v>13</v>
      </c>
      <c r="D36" s="12" t="s">
        <v>14</v>
      </c>
    </row>
    <row r="37" spans="2:4" x14ac:dyDescent="0.25">
      <c r="B37" s="10">
        <v>1234638696</v>
      </c>
      <c r="C37" s="11" t="s">
        <v>40</v>
      </c>
      <c r="D37" s="12" t="s">
        <v>41</v>
      </c>
    </row>
    <row r="38" spans="2:4" x14ac:dyDescent="0.25">
      <c r="B38" s="10">
        <v>1000775862</v>
      </c>
      <c r="C38" s="11" t="s">
        <v>42</v>
      </c>
      <c r="D38" s="12" t="s">
        <v>41</v>
      </c>
    </row>
    <row r="39" spans="2:4" x14ac:dyDescent="0.25">
      <c r="B39" s="10">
        <v>5927717</v>
      </c>
      <c r="C39" s="11" t="s">
        <v>43</v>
      </c>
      <c r="D39" s="12" t="s">
        <v>41</v>
      </c>
    </row>
    <row r="40" spans="2:4" x14ac:dyDescent="0.25">
      <c r="B40" s="10">
        <v>1110442630</v>
      </c>
      <c r="C40" s="11" t="s">
        <v>44</v>
      </c>
      <c r="D40" s="12" t="s">
        <v>41</v>
      </c>
    </row>
    <row r="41" spans="2:4" x14ac:dyDescent="0.25">
      <c r="B41" s="10">
        <v>1007832826</v>
      </c>
      <c r="C41" s="11" t="s">
        <v>45</v>
      </c>
      <c r="D41" s="12" t="s">
        <v>46</v>
      </c>
    </row>
    <row r="42" spans="2:4" x14ac:dyDescent="0.25">
      <c r="B42" s="10" t="s">
        <v>47</v>
      </c>
      <c r="C42" s="11" t="s">
        <v>48</v>
      </c>
      <c r="D42" s="12"/>
    </row>
    <row r="43" spans="2:4" x14ac:dyDescent="0.25">
      <c r="B43" s="10">
        <v>1110546445</v>
      </c>
      <c r="C43" s="11" t="s">
        <v>36</v>
      </c>
      <c r="D43" s="12" t="s">
        <v>37</v>
      </c>
    </row>
    <row r="44" spans="2:4" x14ac:dyDescent="0.25">
      <c r="B44" s="10">
        <v>1005717607</v>
      </c>
      <c r="C44" s="11" t="s">
        <v>49</v>
      </c>
      <c r="D44" s="12" t="s">
        <v>37</v>
      </c>
    </row>
    <row r="45" spans="2:4" x14ac:dyDescent="0.25">
      <c r="B45" s="10">
        <v>14243741</v>
      </c>
      <c r="C45" s="11" t="s">
        <v>50</v>
      </c>
      <c r="D45" s="12" t="s">
        <v>51</v>
      </c>
    </row>
    <row r="46" spans="2:4" x14ac:dyDescent="0.25">
      <c r="B46" s="10">
        <v>1110442630</v>
      </c>
      <c r="C46" s="11" t="s">
        <v>44</v>
      </c>
      <c r="D46" s="12" t="s">
        <v>34</v>
      </c>
    </row>
    <row r="47" spans="2:4" x14ac:dyDescent="0.25">
      <c r="B47" s="10" t="s">
        <v>52</v>
      </c>
      <c r="C47" s="11" t="s">
        <v>53</v>
      </c>
      <c r="D47" s="12"/>
    </row>
    <row r="48" spans="2:4" x14ac:dyDescent="0.25">
      <c r="B48" s="10">
        <v>800251569</v>
      </c>
      <c r="C48" s="11" t="s">
        <v>54</v>
      </c>
      <c r="D48" s="12"/>
    </row>
    <row r="49" spans="2:4" x14ac:dyDescent="0.25">
      <c r="B49" s="10">
        <v>1006122533</v>
      </c>
      <c r="C49" s="11" t="s">
        <v>55</v>
      </c>
      <c r="D49" s="12" t="s">
        <v>56</v>
      </c>
    </row>
    <row r="50" spans="2:4" x14ac:dyDescent="0.25">
      <c r="B50" s="10">
        <v>111046289</v>
      </c>
      <c r="C50" s="11" t="s">
        <v>185</v>
      </c>
      <c r="D50" s="12" t="s">
        <v>34</v>
      </c>
    </row>
    <row r="51" spans="2:4" x14ac:dyDescent="0.25">
      <c r="B51" s="10">
        <v>28542010</v>
      </c>
      <c r="C51" s="11" t="s">
        <v>187</v>
      </c>
      <c r="D51" s="12" t="s">
        <v>188</v>
      </c>
    </row>
    <row r="52" spans="2:4" x14ac:dyDescent="0.25">
      <c r="B52" s="10">
        <v>93389805</v>
      </c>
      <c r="C52" s="11" t="s">
        <v>241</v>
      </c>
      <c r="D52" s="12" t="s">
        <v>34</v>
      </c>
    </row>
    <row r="53" spans="2:4" x14ac:dyDescent="0.25">
      <c r="B53" s="10">
        <v>111046289</v>
      </c>
      <c r="C53" s="11" t="s">
        <v>185</v>
      </c>
      <c r="D53" s="12" t="s">
        <v>34</v>
      </c>
    </row>
  </sheetData>
  <mergeCells count="11">
    <mergeCell ref="H7:H8"/>
    <mergeCell ref="A1:C4"/>
    <mergeCell ref="D1:I4"/>
    <mergeCell ref="A5:I6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scale="4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6433" r:id="rId4" name="Button 1">
              <controlPr defaultSize="0" print="0" autoFill="0" autoPict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MAYO 02 2026</vt:lpstr>
      <vt:lpstr>MAYO 03 2026</vt:lpstr>
      <vt:lpstr>MAYO 05 2026</vt:lpstr>
      <vt:lpstr>MAYO 06 2026 </vt:lpstr>
      <vt:lpstr>MAYO 07 2026  </vt:lpstr>
      <vt:lpstr>MAYO 08 2026  </vt:lpstr>
      <vt:lpstr>MAYO 11 2026  </vt:lpstr>
      <vt:lpstr>MAYO 09 2026 </vt:lpstr>
      <vt:lpstr>MAYO 12 2026 </vt:lpstr>
      <vt:lpstr>MAYO 13 2026 </vt:lpstr>
      <vt:lpstr>MAYO 14 2026 </vt:lpstr>
      <vt:lpstr>MAYO 15 2026  </vt:lpstr>
      <vt:lpstr>MAYO 16 2026</vt:lpstr>
      <vt:lpstr>MAYO 19 2026 </vt:lpstr>
      <vt:lpstr>MAYO 20 2026  </vt:lpstr>
      <vt:lpstr>MAYO 21 2026</vt:lpstr>
      <vt:lpstr>MAYO 22 2026</vt:lpstr>
      <vt:lpstr>MAYO 23 2026</vt:lpstr>
      <vt:lpstr>MAYO 25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cp:lastPrinted>2026-05-26T16:31:10Z</cp:lastPrinted>
  <dcterms:created xsi:type="dcterms:W3CDTF">2026-05-04T13:26:55Z</dcterms:created>
  <dcterms:modified xsi:type="dcterms:W3CDTF">2026-05-26T20:16:59Z</dcterms:modified>
  <cp:category/>
  <cp:contentStatus/>
</cp:coreProperties>
</file>